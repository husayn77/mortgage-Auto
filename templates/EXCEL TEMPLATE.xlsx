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erge\"/>
    </mc:Choice>
  </mc:AlternateContent>
  <xr:revisionPtr revIDLastSave="0" documentId="13_ncr:1_{62767990-C532-48D6-B339-E5C19E775F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UN" sheetId="2" r:id="rId1"/>
    <sheet name="Sheet1" sheetId="1" r:id="rId2"/>
  </sheets>
  <externalReferences>
    <externalReference r:id="rId3"/>
  </externalReferences>
  <definedNames>
    <definedName name="_xlnm._FilterDatabase" localSheetId="0" hidden="1">RUN!$A$1:$U$8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P7" i="2"/>
  <c r="P8" i="2"/>
  <c r="P9" i="2"/>
  <c r="P10" i="2"/>
  <c r="P11" i="2"/>
  <c r="P12" i="2"/>
  <c r="P2" i="2"/>
  <c r="Z40" i="2"/>
  <c r="W40" i="2"/>
  <c r="O40" i="2"/>
  <c r="I40" i="2"/>
  <c r="G40" i="2"/>
  <c r="Z39" i="2"/>
  <c r="W39" i="2"/>
  <c r="O39" i="2"/>
  <c r="I39" i="2"/>
  <c r="G39" i="2"/>
  <c r="Z38" i="2"/>
  <c r="W38" i="2"/>
  <c r="O38" i="2"/>
  <c r="I38" i="2"/>
  <c r="G38" i="2"/>
  <c r="Z37" i="2"/>
  <c r="W37" i="2"/>
  <c r="O37" i="2"/>
  <c r="I37" i="2"/>
  <c r="G37" i="2"/>
  <c r="Z36" i="2"/>
  <c r="W36" i="2"/>
  <c r="O36" i="2"/>
  <c r="I36" i="2"/>
  <c r="G36" i="2"/>
  <c r="Z35" i="2"/>
  <c r="W35" i="2"/>
  <c r="O35" i="2"/>
  <c r="I35" i="2"/>
  <c r="G35" i="2"/>
  <c r="Z34" i="2"/>
  <c r="W34" i="2"/>
  <c r="O34" i="2"/>
  <c r="I34" i="2"/>
  <c r="G34" i="2"/>
  <c r="Z33" i="2"/>
  <c r="W33" i="2"/>
  <c r="O33" i="2"/>
  <c r="I33" i="2"/>
  <c r="G33" i="2"/>
  <c r="Z32" i="2"/>
  <c r="W32" i="2"/>
  <c r="O32" i="2"/>
  <c r="I32" i="2"/>
  <c r="G32" i="2"/>
  <c r="Z31" i="2"/>
  <c r="W31" i="2"/>
  <c r="O31" i="2"/>
  <c r="I31" i="2"/>
  <c r="G31" i="2"/>
  <c r="Z30" i="2"/>
  <c r="W30" i="2"/>
  <c r="O30" i="2"/>
  <c r="I30" i="2"/>
  <c r="G30" i="2"/>
  <c r="Z29" i="2"/>
  <c r="W29" i="2"/>
  <c r="O29" i="2"/>
  <c r="I29" i="2"/>
  <c r="G29" i="2"/>
  <c r="Z28" i="2"/>
  <c r="W28" i="2"/>
  <c r="O28" i="2"/>
  <c r="I28" i="2"/>
  <c r="G28" i="2"/>
  <c r="Z27" i="2"/>
  <c r="W27" i="2"/>
  <c r="O27" i="2"/>
  <c r="I27" i="2"/>
  <c r="G27" i="2"/>
  <c r="Z26" i="2"/>
  <c r="W26" i="2"/>
  <c r="O26" i="2"/>
  <c r="I26" i="2"/>
  <c r="G26" i="2"/>
  <c r="Z25" i="2"/>
  <c r="W25" i="2"/>
  <c r="O25" i="2"/>
  <c r="I25" i="2"/>
  <c r="G25" i="2"/>
  <c r="Z24" i="2"/>
  <c r="W24" i="2"/>
  <c r="O24" i="2"/>
  <c r="I24" i="2"/>
  <c r="G24" i="2"/>
  <c r="Z23" i="2"/>
  <c r="W23" i="2"/>
  <c r="O23" i="2"/>
  <c r="I23" i="2"/>
  <c r="G23" i="2"/>
  <c r="Z22" i="2"/>
  <c r="W22" i="2"/>
  <c r="O22" i="2"/>
  <c r="I22" i="2"/>
  <c r="G22" i="2"/>
  <c r="Z21" i="2"/>
  <c r="W21" i="2"/>
  <c r="O21" i="2"/>
  <c r="I21" i="2"/>
  <c r="G21" i="2"/>
  <c r="Z20" i="2"/>
  <c r="W20" i="2"/>
  <c r="O20" i="2"/>
  <c r="I20" i="2"/>
  <c r="G20" i="2"/>
  <c r="Z19" i="2"/>
  <c r="W19" i="2"/>
  <c r="O19" i="2"/>
  <c r="I19" i="2"/>
  <c r="G19" i="2"/>
  <c r="Z18" i="2"/>
  <c r="W18" i="2"/>
  <c r="O18" i="2"/>
  <c r="I18" i="2"/>
  <c r="G18" i="2"/>
  <c r="Z17" i="2"/>
  <c r="W17" i="2"/>
  <c r="O17" i="2"/>
  <c r="I17" i="2"/>
  <c r="G17" i="2"/>
  <c r="Z16" i="2"/>
  <c r="W16" i="2"/>
  <c r="O16" i="2"/>
  <c r="I16" i="2"/>
  <c r="G16" i="2"/>
  <c r="Z15" i="2"/>
  <c r="W15" i="2"/>
  <c r="O15" i="2"/>
  <c r="I15" i="2"/>
  <c r="G15" i="2"/>
  <c r="Z14" i="2"/>
  <c r="W14" i="2"/>
  <c r="O14" i="2"/>
  <c r="I14" i="2"/>
  <c r="G14" i="2"/>
  <c r="Z13" i="2"/>
  <c r="W13" i="2"/>
  <c r="O13" i="2"/>
  <c r="I13" i="2"/>
  <c r="G13" i="2"/>
  <c r="Z12" i="2"/>
  <c r="W12" i="2"/>
  <c r="O12" i="2"/>
  <c r="I12" i="2"/>
  <c r="G12" i="2"/>
  <c r="Z11" i="2"/>
  <c r="W11" i="2"/>
  <c r="O11" i="2"/>
  <c r="I11" i="2"/>
  <c r="G11" i="2"/>
  <c r="Z10" i="2"/>
  <c r="W10" i="2"/>
  <c r="O10" i="2"/>
  <c r="I10" i="2"/>
  <c r="G10" i="2"/>
  <c r="Z9" i="2"/>
  <c r="W9" i="2"/>
  <c r="O9" i="2"/>
  <c r="I9" i="2"/>
  <c r="G9" i="2"/>
  <c r="Z8" i="2"/>
  <c r="W8" i="2"/>
  <c r="O8" i="2"/>
  <c r="I8" i="2"/>
  <c r="G8" i="2"/>
  <c r="Z7" i="2"/>
  <c r="W7" i="2"/>
  <c r="O7" i="2"/>
  <c r="I7" i="2"/>
  <c r="G7" i="2"/>
  <c r="Z6" i="2"/>
  <c r="W6" i="2"/>
  <c r="O6" i="2"/>
  <c r="I6" i="2"/>
  <c r="G6" i="2"/>
  <c r="Z5" i="2"/>
  <c r="W5" i="2"/>
  <c r="O5" i="2"/>
  <c r="I5" i="2"/>
  <c r="G5" i="2"/>
  <c r="Z4" i="2"/>
  <c r="W4" i="2"/>
  <c r="O4" i="2"/>
  <c r="I4" i="2"/>
  <c r="G4" i="2"/>
  <c r="Z3" i="2"/>
  <c r="W3" i="2"/>
  <c r="O3" i="2"/>
  <c r="I3" i="2"/>
  <c r="G3" i="2"/>
  <c r="Z2" i="2"/>
  <c r="W2" i="2"/>
  <c r="O2" i="2"/>
  <c r="I2" i="2"/>
  <c r="G2" i="2"/>
  <c r="T3" i="1"/>
  <c r="S3" i="1" s="1"/>
  <c r="T9" i="1"/>
  <c r="S9" i="1" s="1"/>
  <c r="T11" i="1"/>
  <c r="S11" i="1" s="1"/>
  <c r="T12" i="1"/>
  <c r="T18" i="1"/>
  <c r="T19" i="1"/>
  <c r="S19" i="1" s="1"/>
  <c r="U4" i="1"/>
  <c r="U5" i="1"/>
  <c r="U6" i="1"/>
  <c r="U7" i="1"/>
  <c r="U8" i="1"/>
  <c r="U10" i="1"/>
  <c r="T10" i="1" s="1"/>
  <c r="U13" i="1"/>
  <c r="U14" i="1"/>
  <c r="U15" i="1"/>
  <c r="U16" i="1"/>
  <c r="U17" i="1"/>
  <c r="T17" i="1" s="1"/>
  <c r="U20" i="1"/>
  <c r="U21" i="1"/>
  <c r="U22" i="1"/>
  <c r="T22" i="1" s="1"/>
  <c r="U23" i="1"/>
  <c r="T23" i="1" s="1"/>
  <c r="U24" i="1"/>
  <c r="U25" i="1"/>
  <c r="U26" i="1"/>
  <c r="U27" i="1"/>
  <c r="U28" i="1"/>
  <c r="U29" i="1"/>
  <c r="U30" i="1"/>
  <c r="T30" i="1" s="1"/>
  <c r="U31" i="1"/>
  <c r="T31" i="1" s="1"/>
  <c r="U32" i="1"/>
  <c r="U33" i="1"/>
  <c r="U34" i="1"/>
  <c r="U35" i="1"/>
  <c r="U36" i="1"/>
  <c r="U37" i="1"/>
  <c r="U38" i="1"/>
  <c r="T38" i="1" s="1"/>
  <c r="U39" i="1"/>
  <c r="T39" i="1" s="1"/>
  <c r="U40" i="1"/>
  <c r="U2" i="1"/>
  <c r="P22" i="2" l="1"/>
  <c r="P4" i="2"/>
  <c r="P14" i="2"/>
  <c r="P15" i="2"/>
  <c r="P16" i="2"/>
  <c r="P17" i="2"/>
  <c r="P18" i="2"/>
  <c r="P19" i="2"/>
  <c r="P20" i="2"/>
  <c r="P23" i="2"/>
  <c r="P24" i="2"/>
  <c r="P25" i="2"/>
  <c r="P26" i="2"/>
  <c r="P27" i="2"/>
  <c r="P29" i="2"/>
  <c r="P30" i="2"/>
  <c r="P31" i="2"/>
  <c r="P32" i="2"/>
  <c r="P33" i="2"/>
  <c r="P34" i="2"/>
  <c r="P36" i="2"/>
  <c r="P38" i="2"/>
  <c r="P35" i="2"/>
  <c r="P28" i="2"/>
  <c r="P21" i="2"/>
  <c r="P13" i="2"/>
  <c r="P6" i="2"/>
  <c r="P3" i="2"/>
  <c r="P37" i="2"/>
  <c r="P39" i="2"/>
  <c r="P40" i="2"/>
  <c r="K40" i="2"/>
  <c r="M38" i="2"/>
  <c r="N38" i="2" s="1"/>
  <c r="K38" i="2"/>
  <c r="X36" i="2"/>
  <c r="K36" i="2"/>
  <c r="M35" i="2"/>
  <c r="N35" i="2" s="1"/>
  <c r="K35" i="2"/>
  <c r="K33" i="2"/>
  <c r="X32" i="2"/>
  <c r="K32" i="2"/>
  <c r="X31" i="2"/>
  <c r="M31" i="2"/>
  <c r="N31" i="2" s="1"/>
  <c r="K31" i="2"/>
  <c r="X30" i="2"/>
  <c r="M30" i="2"/>
  <c r="N30" i="2" s="1"/>
  <c r="K30" i="2"/>
  <c r="X29" i="2"/>
  <c r="M29" i="2"/>
  <c r="N29" i="2" s="1"/>
  <c r="K29" i="2"/>
  <c r="X28" i="2"/>
  <c r="M28" i="2"/>
  <c r="N28" i="2" s="1"/>
  <c r="K28" i="2"/>
  <c r="X27" i="2"/>
  <c r="M27" i="2"/>
  <c r="N27" i="2" s="1"/>
  <c r="K27" i="2"/>
  <c r="X26" i="2"/>
  <c r="M26" i="2"/>
  <c r="N26" i="2" s="1"/>
  <c r="K26" i="2"/>
  <c r="X25" i="2"/>
  <c r="M25" i="2"/>
  <c r="N25" i="2" s="1"/>
  <c r="K25" i="2"/>
  <c r="X24" i="2"/>
  <c r="M24" i="2"/>
  <c r="N24" i="2" s="1"/>
  <c r="K24" i="2"/>
  <c r="X23" i="2"/>
  <c r="X22" i="2"/>
  <c r="X21" i="2"/>
  <c r="M21" i="2"/>
  <c r="N21" i="2" s="1"/>
  <c r="K21" i="2"/>
  <c r="X20" i="2"/>
  <c r="M20" i="2"/>
  <c r="N20" i="2" s="1"/>
  <c r="K20" i="2"/>
  <c r="X19" i="2"/>
  <c r="M19" i="2"/>
  <c r="N19" i="2" s="1"/>
  <c r="K19" i="2"/>
  <c r="X18" i="2"/>
  <c r="M18" i="2"/>
  <c r="N18" i="2" s="1"/>
  <c r="K18" i="2"/>
  <c r="X17" i="2"/>
  <c r="M17" i="2"/>
  <c r="N17" i="2" s="1"/>
  <c r="K17" i="2"/>
  <c r="X16" i="2"/>
  <c r="M16" i="2"/>
  <c r="N16" i="2" s="1"/>
  <c r="K16" i="2"/>
  <c r="X15" i="2"/>
  <c r="M15" i="2"/>
  <c r="N15" i="2" s="1"/>
  <c r="K15" i="2"/>
  <c r="X14" i="2"/>
  <c r="M14" i="2"/>
  <c r="N14" i="2" s="1"/>
  <c r="K14" i="2"/>
  <c r="X13" i="2"/>
  <c r="M13" i="2"/>
  <c r="N13" i="2" s="1"/>
  <c r="K13" i="2"/>
  <c r="X12" i="2"/>
  <c r="M12" i="2"/>
  <c r="N12" i="2" s="1"/>
  <c r="K12" i="2"/>
  <c r="X11" i="2"/>
  <c r="M11" i="2"/>
  <c r="N11" i="2" s="1"/>
  <c r="K11" i="2"/>
  <c r="X10" i="2"/>
  <c r="K10" i="2"/>
  <c r="X9" i="2"/>
  <c r="M9" i="2"/>
  <c r="N9" i="2" s="1"/>
  <c r="K9" i="2"/>
  <c r="X8" i="2"/>
  <c r="M8" i="2"/>
  <c r="N8" i="2" s="1"/>
  <c r="K8" i="2"/>
  <c r="X40" i="2"/>
  <c r="X39" i="2"/>
  <c r="M39" i="2"/>
  <c r="N39" i="2" s="1"/>
  <c r="K39" i="2"/>
  <c r="M23" i="2"/>
  <c r="N23" i="2" s="1"/>
  <c r="K23" i="2"/>
  <c r="M22" i="2"/>
  <c r="N22" i="2" s="1"/>
  <c r="K22" i="2"/>
  <c r="M10" i="2"/>
  <c r="N10" i="2" s="1"/>
  <c r="X7" i="2"/>
  <c r="M7" i="2"/>
  <c r="N7" i="2" s="1"/>
  <c r="K7" i="2"/>
  <c r="X6" i="2"/>
  <c r="M6" i="2"/>
  <c r="N6" i="2" s="1"/>
  <c r="K6" i="2"/>
  <c r="X5" i="2"/>
  <c r="M5" i="2"/>
  <c r="N5" i="2" s="1"/>
  <c r="K5" i="2"/>
  <c r="X4" i="2"/>
  <c r="M4" i="2"/>
  <c r="N4" i="2" s="1"/>
  <c r="K4" i="2"/>
  <c r="X3" i="2"/>
  <c r="M3" i="2"/>
  <c r="N3" i="2" s="1"/>
  <c r="K3" i="2"/>
  <c r="X2" i="2"/>
  <c r="M2" i="2"/>
  <c r="N2" i="2" s="1"/>
  <c r="K2" i="2"/>
  <c r="M40" i="2"/>
  <c r="N40" i="2" s="1"/>
  <c r="X38" i="2"/>
  <c r="X37" i="2"/>
  <c r="M37" i="2"/>
  <c r="N37" i="2" s="1"/>
  <c r="K37" i="2"/>
  <c r="M36" i="2"/>
  <c r="N36" i="2" s="1"/>
  <c r="X35" i="2"/>
  <c r="X34" i="2"/>
  <c r="M34" i="2"/>
  <c r="N34" i="2" s="1"/>
  <c r="K34" i="2"/>
  <c r="X33" i="2"/>
  <c r="M33" i="2"/>
  <c r="N33" i="2" s="1"/>
  <c r="M32" i="2"/>
  <c r="N32" i="2" s="1"/>
  <c r="S12" i="1"/>
  <c r="S18" i="1"/>
  <c r="T37" i="1"/>
  <c r="S37" i="1" s="1"/>
  <c r="T29" i="1"/>
  <c r="S29" i="1" s="1"/>
  <c r="T21" i="1"/>
  <c r="S21" i="1" s="1"/>
  <c r="T16" i="1"/>
  <c r="S16" i="1" s="1"/>
  <c r="T8" i="1"/>
  <c r="S8" i="1" s="1"/>
  <c r="S39" i="1"/>
  <c r="S31" i="1"/>
  <c r="S23" i="1"/>
  <c r="S10" i="1"/>
  <c r="T36" i="1"/>
  <c r="S36" i="1" s="1"/>
  <c r="T28" i="1"/>
  <c r="S28" i="1" s="1"/>
  <c r="T20" i="1"/>
  <c r="S20" i="1" s="1"/>
  <c r="T15" i="1"/>
  <c r="S15" i="1" s="1"/>
  <c r="T7" i="1"/>
  <c r="S38" i="1"/>
  <c r="S30" i="1"/>
  <c r="S22" i="1"/>
  <c r="S17" i="1"/>
  <c r="T35" i="1"/>
  <c r="S35" i="1" s="1"/>
  <c r="T27" i="1"/>
  <c r="S27" i="1" s="1"/>
  <c r="T14" i="1"/>
  <c r="S14" i="1" s="1"/>
  <c r="T6" i="1"/>
  <c r="S6" i="1" s="1"/>
  <c r="T34" i="1"/>
  <c r="S34" i="1" s="1"/>
  <c r="T26" i="1"/>
  <c r="S26" i="1" s="1"/>
  <c r="T13" i="1"/>
  <c r="S13" i="1" s="1"/>
  <c r="T5" i="1"/>
  <c r="S5" i="1" s="1"/>
  <c r="T2" i="1"/>
  <c r="S2" i="1" s="1"/>
  <c r="T33" i="1"/>
  <c r="S33" i="1" s="1"/>
  <c r="T25" i="1"/>
  <c r="S25" i="1" s="1"/>
  <c r="T4" i="1"/>
  <c r="S4" i="1" s="1"/>
  <c r="T40" i="1"/>
  <c r="S40" i="1" s="1"/>
  <c r="T32" i="1"/>
  <c r="S32" i="1" s="1"/>
  <c r="T24" i="1"/>
  <c r="S24" i="1" s="1"/>
  <c r="S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<sst xmlns="http://schemas.openxmlformats.org/spreadsheetml/2006/main" count="896" uniqueCount="501">
  <si>
    <t>S/N</t>
  </si>
  <si>
    <t>PENSION NUMBER</t>
  </si>
  <si>
    <t xml:space="preserve">First Name </t>
  </si>
  <si>
    <t xml:space="preserve">Last Name </t>
  </si>
  <si>
    <t xml:space="preserve">Middle Name </t>
  </si>
  <si>
    <t>NAME</t>
  </si>
  <si>
    <t>BVN</t>
  </si>
  <si>
    <t>Phone Number</t>
  </si>
  <si>
    <t>Address</t>
  </si>
  <si>
    <t>Gender</t>
  </si>
  <si>
    <t>Date of birth</t>
  </si>
  <si>
    <t>Marital Status</t>
  </si>
  <si>
    <t>ACCOUNT NUMBER</t>
  </si>
  <si>
    <t>DATE OPENED</t>
  </si>
  <si>
    <t>sector</t>
  </si>
  <si>
    <t>NURBAN NO</t>
  </si>
  <si>
    <t>RSA BAL</t>
  </si>
  <si>
    <t>BALANCE</t>
  </si>
  <si>
    <t>BRANCH NAME</t>
  </si>
  <si>
    <t>PRODUCT</t>
  </si>
  <si>
    <t>AGENT</t>
  </si>
  <si>
    <t>Next of Kins</t>
  </si>
  <si>
    <t>PFA</t>
  </si>
  <si>
    <t>PEN100484351016</t>
  </si>
  <si>
    <t xml:space="preserve">SANUSI </t>
  </si>
  <si>
    <t>MOHAMMED</t>
  </si>
  <si>
    <t>SANUSI MOHAMMED</t>
  </si>
  <si>
    <t>08161781081</t>
  </si>
  <si>
    <t>RUNJIN SAMBO AREA SOKOTO</t>
  </si>
  <si>
    <t>MALE</t>
  </si>
  <si>
    <t>MARRIED</t>
  </si>
  <si>
    <t>SOKOTO</t>
  </si>
  <si>
    <t>CURRENT ACCOUNT</t>
  </si>
  <si>
    <t>MUSA BUKAR</t>
  </si>
  <si>
    <t>BUHARI ABUBAKAR</t>
  </si>
  <si>
    <t>PREMIUM PENSION</t>
  </si>
  <si>
    <t>ALIYU</t>
  </si>
  <si>
    <t>ALIYU MOHAMMED</t>
  </si>
  <si>
    <t>07036813313</t>
  </si>
  <si>
    <t>ESTERN BY PASS DAMIMANA SOKOTO</t>
  </si>
  <si>
    <t xml:space="preserve">ALIYU ALIYU </t>
  </si>
  <si>
    <t>PEN100653758514</t>
  </si>
  <si>
    <t xml:space="preserve">ABDULAZEEZ </t>
  </si>
  <si>
    <t>SALIHU</t>
  </si>
  <si>
    <t>ABDULAZEEZ SALIHU</t>
  </si>
  <si>
    <t>08060431885</t>
  </si>
  <si>
    <t>HOUSING ESTATE RUNJIN SAMBO SOKOTO</t>
  </si>
  <si>
    <t>19/6/1982</t>
  </si>
  <si>
    <t>AHMAD ABDULAZEEZ</t>
  </si>
  <si>
    <t>PEN100596472717</t>
  </si>
  <si>
    <t>ABUBAKAR</t>
  </si>
  <si>
    <t>ABDULLAHI</t>
  </si>
  <si>
    <t>YABO</t>
  </si>
  <si>
    <t>ABDULLAHI ABUBAKAR YABO</t>
  </si>
  <si>
    <t>08037824026</t>
  </si>
  <si>
    <t>DUNGUZAR ROAD GWIWA LOWCOST SOKOTO</t>
  </si>
  <si>
    <t xml:space="preserve">HARITH ABDULLAHI </t>
  </si>
  <si>
    <t>PEN200587027119</t>
  </si>
  <si>
    <t>ADEOLA</t>
  </si>
  <si>
    <t>IBITOYE</t>
  </si>
  <si>
    <t>MODUPE</t>
  </si>
  <si>
    <t>IBITOYE ADEOLA MODUPE</t>
  </si>
  <si>
    <t>08035763839</t>
  </si>
  <si>
    <t>TAMAJE AREA SOKOTO</t>
  </si>
  <si>
    <t>FEMALE</t>
  </si>
  <si>
    <t>27/11/1981</t>
  </si>
  <si>
    <t>DR. E.B IBITOYE</t>
  </si>
  <si>
    <t>PEN100096143517</t>
  </si>
  <si>
    <t>BASIRU</t>
  </si>
  <si>
    <t>ISAH</t>
  </si>
  <si>
    <t>BASIRU ISAH</t>
  </si>
  <si>
    <t>08132641867</t>
  </si>
  <si>
    <t>G.R.A POLICE BARRACKS</t>
  </si>
  <si>
    <t>21/02/1980</t>
  </si>
  <si>
    <t>NAFIU BASIRU</t>
  </si>
  <si>
    <t>PEN100015356002</t>
  </si>
  <si>
    <t>BALA</t>
  </si>
  <si>
    <t>ALMED</t>
  </si>
  <si>
    <t>AHMED BALA MOHAMMED</t>
  </si>
  <si>
    <t>08030579553</t>
  </si>
  <si>
    <t>MANA KARAMA TOWN SOKOTO</t>
  </si>
  <si>
    <t>PDO SOK AFRASIM MUHD YUSUF</t>
  </si>
  <si>
    <t>ABDULAZIZ MOHAMMED</t>
  </si>
  <si>
    <t>PEN100822790013</t>
  </si>
  <si>
    <t>ABDULRAZAQ</t>
  </si>
  <si>
    <t>SALAWU</t>
  </si>
  <si>
    <t>ABDULRAZAQ SALAWU</t>
  </si>
  <si>
    <t>08034659886</t>
  </si>
  <si>
    <t>NO,5 OKENE STREET PESELI KUJE ABUJA</t>
  </si>
  <si>
    <t>AUM FCT</t>
  </si>
  <si>
    <t>BEEELLY</t>
  </si>
  <si>
    <t>ABDULRAZAQ ZAINAB</t>
  </si>
  <si>
    <t>CRUSADER STERLING</t>
  </si>
  <si>
    <t>PEN110010173866</t>
  </si>
  <si>
    <t>ABDULAZEEZ</t>
  </si>
  <si>
    <t>USMAN</t>
  </si>
  <si>
    <t>SHUAIB</t>
  </si>
  <si>
    <t>ABDULAZEEZ USMAN SHUAIB</t>
  </si>
  <si>
    <t>08035702165</t>
  </si>
  <si>
    <t>HOUSE 6, ABDULLAHI BOKANI CLOSE, GBAZANGO ARAB ROAD.KUBWA</t>
  </si>
  <si>
    <t>IBRAHIM SEFIYA ENEZE</t>
  </si>
  <si>
    <t>PREMIUM PENESION</t>
  </si>
  <si>
    <t>PEN100907682416</t>
  </si>
  <si>
    <t>ISA</t>
  </si>
  <si>
    <t>MUHAMMED</t>
  </si>
  <si>
    <t xml:space="preserve">ISA MUHAMMED </t>
  </si>
  <si>
    <t>08036097918</t>
  </si>
  <si>
    <t>JUNIO STAFF QUARTERS ABAJI</t>
  </si>
  <si>
    <t>YUSUF MUHAMMED YUSUF</t>
  </si>
  <si>
    <t>ACCESS</t>
  </si>
  <si>
    <t>PEN200779658725</t>
  </si>
  <si>
    <t>UMMUHANI</t>
  </si>
  <si>
    <t>OZIOHU</t>
  </si>
  <si>
    <t>UMMUHANI ISAH OZIOHU</t>
  </si>
  <si>
    <t>08060539893</t>
  </si>
  <si>
    <t>ALEYTA OPPOSITE ECWA CHURCH, LUGBE, ABUJA</t>
  </si>
  <si>
    <t>MARYAM ISAH</t>
  </si>
  <si>
    <t>PEN100780654420</t>
  </si>
  <si>
    <t>EMMANUEL</t>
  </si>
  <si>
    <t>BULUS</t>
  </si>
  <si>
    <t>DUWONGS</t>
  </si>
  <si>
    <t>EMMANUEL BULUS DUWONGS</t>
  </si>
  <si>
    <t>07031619402</t>
  </si>
  <si>
    <t>MAN USMOBIK CLOSE, KARU SITE, ABUJA</t>
  </si>
  <si>
    <t>BWEHSUN EMMANUEL SOLOMON</t>
  </si>
  <si>
    <t>pen100890743315</t>
  </si>
  <si>
    <t>NURU</t>
  </si>
  <si>
    <t>MUSA</t>
  </si>
  <si>
    <t>DANLADI</t>
  </si>
  <si>
    <t>NURU MUSA DANLADI</t>
  </si>
  <si>
    <t>09036709060</t>
  </si>
  <si>
    <t>HEAD OFFICCE</t>
  </si>
  <si>
    <t>NASIR SADA</t>
  </si>
  <si>
    <t>HILALUDDEEN MUSA MUSA</t>
  </si>
  <si>
    <t>PEN100451710518</t>
  </si>
  <si>
    <t>Adekunle</t>
  </si>
  <si>
    <t>Adeniyi</t>
  </si>
  <si>
    <t>Famous</t>
  </si>
  <si>
    <t>ADEKUNLE ADENIYI FAMOUS</t>
  </si>
  <si>
    <t>08034865391</t>
  </si>
  <si>
    <t>d24 mosafejo Badagry Lagos state</t>
  </si>
  <si>
    <t>MUNKAILA</t>
  </si>
  <si>
    <t>Adeniyi Michael</t>
  </si>
  <si>
    <t>PEN100778174322</t>
  </si>
  <si>
    <t>Yusuf</t>
  </si>
  <si>
    <t>Salahudeen</t>
  </si>
  <si>
    <t>Tanimu</t>
  </si>
  <si>
    <t>YUSUF SALAHUDEEN TANIMU</t>
  </si>
  <si>
    <t>08069207404</t>
  </si>
  <si>
    <t xml:space="preserve"> 59 Ezeagu street ojo road Ajegunle</t>
  </si>
  <si>
    <t xml:space="preserve"> Mustapha Basira</t>
  </si>
  <si>
    <t>PEN100627723714</t>
  </si>
  <si>
    <t>MUHAMMAD</t>
  </si>
  <si>
    <t>IBRAHIM</t>
  </si>
  <si>
    <t xml:space="preserve">MUHAMMAD IBRAHIM USMAN </t>
  </si>
  <si>
    <t>08062373094</t>
  </si>
  <si>
    <t>MABERA LAYOUT BEHIND MABERA CLINIC SOKOTO</t>
  </si>
  <si>
    <t>15/02/1982</t>
  </si>
  <si>
    <t>HABBAN IBRAHIM</t>
  </si>
  <si>
    <t>IDRIS</t>
  </si>
  <si>
    <t>PEN100511748018</t>
  </si>
  <si>
    <t>UMAR</t>
  </si>
  <si>
    <t>ALI</t>
  </si>
  <si>
    <t>MADAKI</t>
  </si>
  <si>
    <t>UMAR ALI MADAKI</t>
  </si>
  <si>
    <t>GSS RUBOCHI STAFF QTRS- ABUJA</t>
  </si>
  <si>
    <t>29/1/1980</t>
  </si>
  <si>
    <t>M</t>
  </si>
  <si>
    <t>13/10/2025</t>
  </si>
  <si>
    <t>HALILU</t>
  </si>
  <si>
    <t>FCMB</t>
  </si>
  <si>
    <t>PEN100495863218</t>
  </si>
  <si>
    <t>ALHAJI</t>
  </si>
  <si>
    <t>UMAR IDRIS ALHAJI</t>
  </si>
  <si>
    <t>GBEDAKO VIA LAPAI L.G NIGER STATE</t>
  </si>
  <si>
    <t>27/12/1974</t>
  </si>
  <si>
    <t>LEADWAY</t>
  </si>
  <si>
    <t>NAJEEM</t>
  </si>
  <si>
    <t>PEN100034338914</t>
  </si>
  <si>
    <t>CHARLES</t>
  </si>
  <si>
    <t>MSUGH</t>
  </si>
  <si>
    <t>USHAH</t>
  </si>
  <si>
    <t>CHARLES MSUGH USHAH</t>
  </si>
  <si>
    <t>ACO PHASE2,LUGBE AIRPORT ROAD</t>
  </si>
  <si>
    <t xml:space="preserve">NAJEEM </t>
  </si>
  <si>
    <t>PEN100513326812</t>
  </si>
  <si>
    <t>MUHAMMEDKABIRU</t>
  </si>
  <si>
    <t xml:space="preserve">MUHAMMEDKABIRU IBRAHIM </t>
  </si>
  <si>
    <t xml:space="preserve">AREA F,NYANYA </t>
  </si>
  <si>
    <t>PEN200683355618</t>
  </si>
  <si>
    <t>OLAMIDE</t>
  </si>
  <si>
    <t>ASHAOLU</t>
  </si>
  <si>
    <t>RASHEEDAT</t>
  </si>
  <si>
    <t>OLAMIDE ASHAOLU RASHEEDAT</t>
  </si>
  <si>
    <t>NO 11,KORBI,MAKARANTA,AOKORO EXTENSION</t>
  </si>
  <si>
    <t>PEN200262696277</t>
  </si>
  <si>
    <t>HABIBAT</t>
  </si>
  <si>
    <t xml:space="preserve">HABIBAT ABDULLAHI </t>
  </si>
  <si>
    <t>NO 2,NDA,BELLO CLOSE,A.P.C QUARTERS,SULEJA</t>
  </si>
  <si>
    <t>15/06/1982</t>
  </si>
  <si>
    <t>WIDOW</t>
  </si>
  <si>
    <t xml:space="preserve">HAUWA ABDULLAHI </t>
  </si>
  <si>
    <t>PEN100629256814</t>
  </si>
  <si>
    <t>GODWIN</t>
  </si>
  <si>
    <t>SULEIMAN</t>
  </si>
  <si>
    <t xml:space="preserve">GODWIN SULEIMAN </t>
  </si>
  <si>
    <t>SHAFFA E.Y.N CHURCH</t>
  </si>
  <si>
    <t>NAOMI GODWIN</t>
  </si>
  <si>
    <t>PEN100438799025</t>
  </si>
  <si>
    <t>ANWAR</t>
  </si>
  <si>
    <t>HARUNA</t>
  </si>
  <si>
    <t>ANWAR HARUNA MOHAMMED</t>
  </si>
  <si>
    <t>S26 HAUSA WAY KARU SITE ABUJA</t>
  </si>
  <si>
    <t>27/04/1983</t>
  </si>
  <si>
    <t>NAJ</t>
  </si>
  <si>
    <t>PEN110053497784</t>
  </si>
  <si>
    <t>JERRY</t>
  </si>
  <si>
    <t>WANIYO</t>
  </si>
  <si>
    <t>DANIEL</t>
  </si>
  <si>
    <t>JERRY WANIYO DANIEL</t>
  </si>
  <si>
    <t>NO 16 SULEI AIGBE STREET DAWAKI</t>
  </si>
  <si>
    <t>SINGLE</t>
  </si>
  <si>
    <t>DAMIAN DANIEL WANIYO</t>
  </si>
  <si>
    <t>PEN100002608922</t>
  </si>
  <si>
    <t>OLAYOMBO</t>
  </si>
  <si>
    <t>ONIGBODE</t>
  </si>
  <si>
    <t>OLAYOMBO  ONIGBODE</t>
  </si>
  <si>
    <t>PLOT 205 PRIME SCHOLAR SCH RD KARU SITE ABUJA</t>
  </si>
  <si>
    <t>PUBLIC</t>
  </si>
  <si>
    <t>MUSTY</t>
  </si>
  <si>
    <t>IGANYA LAURA ONIGBODE</t>
  </si>
  <si>
    <t>PEN200002608888</t>
  </si>
  <si>
    <t>IGANYA</t>
  </si>
  <si>
    <t>LAURA</t>
  </si>
  <si>
    <t>IGANYA ONIGBODE LAURA</t>
  </si>
  <si>
    <t>OLAYOKIBO ONIGBODE</t>
  </si>
  <si>
    <t>PEN100645297619</t>
  </si>
  <si>
    <t>LATEEF</t>
  </si>
  <si>
    <t>ISIOYE</t>
  </si>
  <si>
    <t>ADEKOLA</t>
  </si>
  <si>
    <t>LATEEF ADEKOLA ISIOYE</t>
  </si>
  <si>
    <t>NO 4 ABEJIDE STREET OFF AROFIDEL SCH ABACHA RD ABUJA</t>
  </si>
  <si>
    <t>BLESSING ADEKOLA ISIOYE</t>
  </si>
  <si>
    <t>PEN100395527831</t>
  </si>
  <si>
    <t>SALIU</t>
  </si>
  <si>
    <t>ABDULLAHI SALIU</t>
  </si>
  <si>
    <t>GOGO 2 BWARI ABUJA</t>
  </si>
  <si>
    <t>SANI</t>
  </si>
  <si>
    <t>KHADIJAT SALIU</t>
  </si>
  <si>
    <t>PREMIIUM PENSION</t>
  </si>
  <si>
    <t>PEN100011517715</t>
  </si>
  <si>
    <t>SHEHU</t>
  </si>
  <si>
    <t xml:space="preserve">SHEHU IBRAHIM </t>
  </si>
  <si>
    <t>OLD KUTUNKU GWAGWALADA</t>
  </si>
  <si>
    <t>SHEHU IBRAHIM</t>
  </si>
  <si>
    <t>PREMIUM</t>
  </si>
  <si>
    <t>PEN100781276614</t>
  </si>
  <si>
    <t>YUSUF</t>
  </si>
  <si>
    <t>DATTI</t>
  </si>
  <si>
    <t>YUSUF MUHAMMAD DATTI</t>
  </si>
  <si>
    <t>08062249017</t>
  </si>
  <si>
    <t>FARAWA BABBAN LAYI</t>
  </si>
  <si>
    <t>FATIMA</t>
  </si>
  <si>
    <t>LAWAN GAMBO DATTI</t>
  </si>
  <si>
    <t>PEN100735489218</t>
  </si>
  <si>
    <t xml:space="preserve">SULEIMAN </t>
  </si>
  <si>
    <t>ISYAKU</t>
  </si>
  <si>
    <t>SULEIMAN  ISYAKU MUHAMMAD</t>
  </si>
  <si>
    <t>08060444491</t>
  </si>
  <si>
    <t>NO 58 DAMBO ROAD GADANKAYA KANO</t>
  </si>
  <si>
    <t xml:space="preserve">MUHAMMAD ISYAKU </t>
  </si>
  <si>
    <t>PEN100504974713</t>
  </si>
  <si>
    <t>SAIDU</t>
  </si>
  <si>
    <t>BAZAM</t>
  </si>
  <si>
    <t xml:space="preserve">SAIDU BAZAM </t>
  </si>
  <si>
    <t>08036201479</t>
  </si>
  <si>
    <t>CHIROMARI DAURA</t>
  </si>
  <si>
    <t>FATIMA SAIDU</t>
  </si>
  <si>
    <t>PEN100504974815</t>
  </si>
  <si>
    <t>GARBA</t>
  </si>
  <si>
    <t xml:space="preserve">GARBA YUSUF </t>
  </si>
  <si>
    <t>08063363458</t>
  </si>
  <si>
    <t>HAUSAWA WARD GAIDAM</t>
  </si>
  <si>
    <t>ABUBAKAR FATIMA</t>
  </si>
  <si>
    <t>PEN200005759211</t>
  </si>
  <si>
    <t>KARIMATU</t>
  </si>
  <si>
    <t>AMINU</t>
  </si>
  <si>
    <t>IMAM</t>
  </si>
  <si>
    <t>KARIMATU AMINU IMAM</t>
  </si>
  <si>
    <t>08091915274</t>
  </si>
  <si>
    <t>AMINU KANO TEACHINH HOSPITAL</t>
  </si>
  <si>
    <t>TASNIM HASSAN ABDULKARIM</t>
  </si>
  <si>
    <t>PEN200468063521</t>
  </si>
  <si>
    <t xml:space="preserve">JAMILA </t>
  </si>
  <si>
    <t>YAKUBU</t>
  </si>
  <si>
    <t xml:space="preserve">JAMILA  YAKUBU </t>
  </si>
  <si>
    <t>08033725821</t>
  </si>
  <si>
    <t>RABI YAKUBU</t>
  </si>
  <si>
    <t>PEN100896108218</t>
  </si>
  <si>
    <t xml:space="preserve">SANI </t>
  </si>
  <si>
    <t>ISMAIL</t>
  </si>
  <si>
    <t>YARYASA</t>
  </si>
  <si>
    <t>SANI  ISMAIL YARYASA</t>
  </si>
  <si>
    <t>08032154626</t>
  </si>
  <si>
    <t>DANGWAURO ZARIA ROAD KANO</t>
  </si>
  <si>
    <t>FARIDA ABDULKARIM</t>
  </si>
  <si>
    <t>PEN100061835111</t>
  </si>
  <si>
    <t>RABIU</t>
  </si>
  <si>
    <t>AUDU</t>
  </si>
  <si>
    <t xml:space="preserve">RABIU AUDU </t>
  </si>
  <si>
    <t>07030923376</t>
  </si>
  <si>
    <t>NO 655 GIDAN GABAS GWALE</t>
  </si>
  <si>
    <t>ABDULMALIK IBRAHIM</t>
  </si>
  <si>
    <t>PEN100742260916</t>
  </si>
  <si>
    <t>RAZAK</t>
  </si>
  <si>
    <t>SANUSI</t>
  </si>
  <si>
    <t xml:space="preserve">RAZAK SANUSI </t>
  </si>
  <si>
    <t>09069527686</t>
  </si>
  <si>
    <t>SHARADA PHASE 2</t>
  </si>
  <si>
    <t>TREATED</t>
  </si>
  <si>
    <t>MIKAIL SANUSI</t>
  </si>
  <si>
    <t>PRODUCTACCOUNTNUMBER</t>
  </si>
  <si>
    <t>1000501569</t>
  </si>
  <si>
    <t>1000501570</t>
  </si>
  <si>
    <t>1000501571</t>
  </si>
  <si>
    <t>1000501572</t>
  </si>
  <si>
    <t>1000501573</t>
  </si>
  <si>
    <t>1000501574</t>
  </si>
  <si>
    <t>1000501575</t>
  </si>
  <si>
    <t>1000501576</t>
  </si>
  <si>
    <t>1000501577</t>
  </si>
  <si>
    <t>1000501578</t>
  </si>
  <si>
    <t>1000501579</t>
  </si>
  <si>
    <t>1000501580</t>
  </si>
  <si>
    <t>1000501581</t>
  </si>
  <si>
    <t>1000501582</t>
  </si>
  <si>
    <t>1000501583</t>
  </si>
  <si>
    <t>1000501584</t>
  </si>
  <si>
    <t>1000501587</t>
  </si>
  <si>
    <t>1000501588</t>
  </si>
  <si>
    <t>1000501590</t>
  </si>
  <si>
    <t>1000501591</t>
  </si>
  <si>
    <t>1000501592</t>
  </si>
  <si>
    <t>1000501593</t>
  </si>
  <si>
    <t>1000501594</t>
  </si>
  <si>
    <t>1000501595</t>
  </si>
  <si>
    <t>1000501596</t>
  </si>
  <si>
    <t>1000501597</t>
  </si>
  <si>
    <t>1000501598</t>
  </si>
  <si>
    <t>1000501599</t>
  </si>
  <si>
    <t>1000501600</t>
  </si>
  <si>
    <t>1000501601</t>
  </si>
  <si>
    <t>1000501603</t>
  </si>
  <si>
    <t>1000501604</t>
  </si>
  <si>
    <t>1000501605</t>
  </si>
  <si>
    <t>1000501606</t>
  </si>
  <si>
    <t>1000501607</t>
  </si>
  <si>
    <t>1000501608</t>
  </si>
  <si>
    <t>1000501609</t>
  </si>
  <si>
    <t>1000501610</t>
  </si>
  <si>
    <t>1000501611</t>
  </si>
  <si>
    <t>PEN100078606957</t>
  </si>
  <si>
    <t>SN</t>
  </si>
  <si>
    <t>ACCOUNT NAME</t>
  </si>
  <si>
    <t>PIN NUMBER</t>
  </si>
  <si>
    <t>Purchase price</t>
  </si>
  <si>
    <t>Purchace Price Word</t>
  </si>
  <si>
    <t>Equity Contribution</t>
  </si>
  <si>
    <t>Equity Contr Word</t>
  </si>
  <si>
    <t>Forsale value</t>
  </si>
  <si>
    <t>Forsale value word</t>
  </si>
  <si>
    <t>Sum Insured</t>
  </si>
  <si>
    <t>Fire Insurance</t>
  </si>
  <si>
    <t>Credit Insurance</t>
  </si>
  <si>
    <t>Next of KIN</t>
  </si>
  <si>
    <t>Phone</t>
  </si>
  <si>
    <t>DOB</t>
  </si>
  <si>
    <t>YEAR</t>
  </si>
  <si>
    <t>AGE</t>
  </si>
  <si>
    <t>EMPLOYER</t>
  </si>
  <si>
    <t>RESIDENTIAL ADDRESS</t>
  </si>
  <si>
    <t>One Million, Two Hundred Thirty-Eight Thousand, Eight Hundred Eighty-Three Naira and Forty-Seven Kobo</t>
  </si>
  <si>
    <t>One Million, Twenty-Three Thousand, Six Hundred Ninety-Eight Naira and Eighty-Five Kobo</t>
  </si>
  <si>
    <t>Two Million, Two Hundred Thirty-Eight Thousand, Six Hundred Seventy-Nine Naira and Forty-Four Kobo</t>
  </si>
  <si>
    <t>One Million, Nine Hundred Thirty-Six Thousand, Six Hundred Eighty-Seven Naira and Fifty Kobo</t>
  </si>
  <si>
    <t>One Million, Six Hundred Sixty-Nine Thousand, Nine Hundred Ninety-Seven Naira and Thirty-Three Kobo</t>
  </si>
  <si>
    <t>One Million, Four Hundred Fifty-Six Thousand, Nine Hundred Fifty-One Naira and Forty-Six Kobo</t>
  </si>
  <si>
    <t>One Million, Three Hundred Fifty-Three Thousand, Six Hundred Forty-Two Naira and Fifty-One Kobo</t>
  </si>
  <si>
    <t>One Million, Eight Hundred Fifty-Eight Thousand, One Hundred Fourteen Naira and Seventy-Four Kobo</t>
  </si>
  <si>
    <t>One Million, Eight Hundred Thousand, One Hundred Twenty-Nine Naira and Fifty-Nine Kobo</t>
  </si>
  <si>
    <t>One Million, Three Hundred Forty-Four Thousand, Nine Hundred Twenty Naira and Twenty-Five Kobo</t>
  </si>
  <si>
    <t>One Million, Six Hundred Fifty-Three Thousand, Four Hundred Sixty-Two Naira and Sixty-Two Kobo</t>
  </si>
  <si>
    <t>Two Million, One Hundred Twenty-Seven Thousand, Eight Hundred Fifteen Naira and Seventy-Eight Kobo</t>
  </si>
  <si>
    <t>Three Million, Forty-Two Thousand, Six Hundred Fifteen Naira and Thirty-Three Kobo</t>
  </si>
  <si>
    <t>One Million, Nine Hundred Thirty-Four Thousand, Six Hundred Forty-Two Naira and Eight Kobo</t>
  </si>
  <si>
    <t>One Million, Seven Hundred Seventeen Thousand, Two Hundred Ninety-One Naira and Forty-Four Kobo</t>
  </si>
  <si>
    <t>Eight Hundred Seventy-Seven Thousand, Eight Hundred Fifty-One Naira and Sixteen Kobo</t>
  </si>
  <si>
    <t>One Million, Five Hundred Twenty-Nine Thousand, Four Hundred Six Naira and Eighty-Three Kobo</t>
  </si>
  <si>
    <t>Two Million, Two Hundred Forty-One Thousand, Nine Hundred Four Naira and No Kobo</t>
  </si>
  <si>
    <t>Three Million, Nine Hundred Sixty-Eight Thousand, Five Hundred Sixty-Nine Naira and Eighty-One Kobo</t>
  </si>
  <si>
    <t>Three Million, Five Hundred Sixteen Thousand, Eleven Naira and Forty-Three Kobo</t>
  </si>
  <si>
    <t>One Million, Two Hundred Three Thousand, Seven Hundred Fifty-Six Naira and Fourteen Kobo</t>
  </si>
  <si>
    <t>One Million, Forty-Four Thousand, Three Hundred Five Naira and Ninety Kobo</t>
  </si>
  <si>
    <t>Two Million, Four Hundred Sixty-Eight Thousand, Two Hundred Forty-Nine Naira and Sixty-Seven Kobo</t>
  </si>
  <si>
    <t>Two Million, One Hundred Eighty-Six Thousand, Eight Hundred Eighty-Three Naira and Sixteen Kobo</t>
  </si>
  <si>
    <t>Two Million, Six Hundred Nine Thousand, Three Hundred Seventy-Six Naira and Ninety-Nine Kobo</t>
  </si>
  <si>
    <t>Two Million, Six Hundred Sixty-Four Thousand, Four Hundred Fifty-Six Naira and Two Kobo</t>
  </si>
  <si>
    <t>Two Million, Two Hundred Eighty-Five Thousand, One Hundred Sixty-Four Naira and Twelve Kobo</t>
  </si>
  <si>
    <t>Two Million, One Hundred Forty Thousand, Seventy-Two Naira and Thirteen Kobo</t>
  </si>
  <si>
    <t>Six Million, Four Hundred Seventy-Two Thousand, Sixty-Five Naira and Forty-Six Kobo</t>
  </si>
  <si>
    <t>Nine Million, Seven Hundred Nineteen Thousand, Seven Hundred Ninety-Five Naira and Seven Kobo</t>
  </si>
  <si>
    <t>Two Million, Four Hundred Twenty-Five Thousand, Fifty-Seven Naira and Ninety-Five Kobo</t>
  </si>
  <si>
    <t>One Million, Four Hundred Thirty-Five Thousand, Three Hundred Eighty-One Naira and Twenty-Eight Kobo</t>
  </si>
  <si>
    <t>Two Million, Four Thousand, Nine Hundred Ninety-Six Naira and Eleven Kobo</t>
  </si>
  <si>
    <t>One Million, Five Hundred Twenty-Seven Thousand, Nine Hundred Thirty Naira and Forty Kobo</t>
  </si>
  <si>
    <t>Four Million, Three Hundred Sixty-Seven Thousand, One Hundred Ninety-Eight Naira and Ninety-Eight Kobo</t>
  </si>
  <si>
    <t>Eight Hundred Twenty Thousand, Seven Hundred Fifty-Four Naira and Six Kobo</t>
  </si>
  <si>
    <t>Three Million, Four Hundred Ninety-Eight Thousand, Nine Hundred Fifty-Three Naira and Seventy-Three Kobo</t>
  </si>
  <si>
    <t>Three Million, Nine Hundred Seventy-Six Thousand, Eight Hundred Twelve Naira and Eighty-One Kobo</t>
  </si>
  <si>
    <t>One Million, Five Hundred Twenty-Four Thousand, Three Hundred Forty-Three Naira and Thirty-Five Kobo</t>
  </si>
  <si>
    <t>One Million, Thirty-Eight Thousand, Eight Hundred Eighty-Three Naira and Forty-Seven Kobo</t>
  </si>
  <si>
    <t>Eight Hundred Twenty-Three Thousand, Six Hundred Ninety-Eight Naira and Eighty-Five Kobo</t>
  </si>
  <si>
    <t>Two Million, Thirty-Eight Thousand, Six Hundred Seventy-Nine Naira and Forty-Four Kobo</t>
  </si>
  <si>
    <t>One Million, Seven Hundred Thirty-Six Thousand, Six Hundred Eighty-Seven Naira and Fifty Kobo</t>
  </si>
  <si>
    <t>One Million, Four Hundred Sixty-Nine Thousand, Nine Hundred Ninety-Seven Naira and Thirty-Three Kobo</t>
  </si>
  <si>
    <t>One Million, Two Hundred Fifty-Six Thousand, Nine Hundred Fifty-One Naira and Forty-Six Kobo</t>
  </si>
  <si>
    <t>One Million, One Hundred Fifty-Three Thousand, Six Hundred Forty-Two Naira and Fifty-One Kobo</t>
  </si>
  <si>
    <t>One Million, Six Hundred Fifty-Eight Thousand, One Hundred Fourteen Naira and Seventy-Four Kobo</t>
  </si>
  <si>
    <t>One Million, Six Hundred Thousand, One Hundred Twenty-Nine Naira and Fifty-Nine Kobo</t>
  </si>
  <si>
    <t>One Million, One Hundred Forty-Four Thousand, Nine Hundred Twenty Naira and Twenty-Five Kobo</t>
  </si>
  <si>
    <t>One Million, Four Hundred Fifty-Three Thousand, Four Hundred Sixty-Two Naira and Sixty-Two Kobo</t>
  </si>
  <si>
    <t>One Million, Nine Hundred Twenty-Seven Thousand, Eight Hundred Fifteen Naira and Seventy-Eight Kobo</t>
  </si>
  <si>
    <t>Two Million, Eight Hundred Forty-Two Thousand, Six Hundred Fifteen Naira and Thirty-Three Kobo</t>
  </si>
  <si>
    <t>One Million, Seven Hundred Thirty-Four Thousand, Six Hundred Forty-Two Naira and Eight Kobo</t>
  </si>
  <si>
    <t>One Million, Five Hundred Seventeen Thousand, Two Hundred Ninety-One Naira and Forty-Four Kobo</t>
  </si>
  <si>
    <t>Six Hundred Seventy-Seven Thousand, Eight Hundred Fifty-One Naira and Sixteen Kobo</t>
  </si>
  <si>
    <t>One Million, Three Hundred Twenty-Nine Thousand, Four Hundred Six Naira and Eighty-Three Kobo</t>
  </si>
  <si>
    <t>Two Million, Forty-One Thousand, Nine Hundred Four Naira and No Kobo</t>
  </si>
  <si>
    <t>Three Million, Seven Hundred Sixty-Eight Thousand, Five Hundred Sixty-Nine Naira and Eighty-One Kobo</t>
  </si>
  <si>
    <t>Three Million, Three Hundred Sixteen Thousand, Eleven Naira and Forty-Three Kobo</t>
  </si>
  <si>
    <t>One Million, Three Thousand, Seven Hundred Fifty-Six Naira and Fourteen Kobo</t>
  </si>
  <si>
    <t>Eight Hundred Forty-Four Thousand, Three Hundred Five Naira and Ninety Kobo</t>
  </si>
  <si>
    <t>Two Million, Two Hundred Sixty-Eight Thousand, Two Hundred Forty-Nine Naira and Sixty-Seven Kobo</t>
  </si>
  <si>
    <t>One Million, Nine Hundred Eighty-Six Thousand, Eight Hundred Eighty-Three Naira and Sixteen Kobo</t>
  </si>
  <si>
    <t>Two Million, Four Hundred Nine Thousand, Three Hundred Seventy-Six Naira and Ninety-Nine Kobo</t>
  </si>
  <si>
    <t>Two Million, Four Hundred Sixty-Four Thousand, Four Hundred Fifty-Six Naira and Two Kobo</t>
  </si>
  <si>
    <t>Two Million, Eighty-Five Thousand, One Hundred Sixty-Four Naira and Twelve Kobo</t>
  </si>
  <si>
    <t>One Million, Nine Hundred Forty Thousand, Seventy-Two Naira and Thirteen Kobo</t>
  </si>
  <si>
    <t>Six Million, Two Hundred Seventy-Two Thousand, Sixty-Five Naira and Forty-Six Kobo</t>
  </si>
  <si>
    <t>Nine Million, Five Hundred Nineteen Thousand, Seven Hundred Ninety-Five Naira and Seven Kobo</t>
  </si>
  <si>
    <t>Two Million, Two Hundred Twenty-Five Thousand, Fifty-Seven Naira and Ninety-Five Kobo</t>
  </si>
  <si>
    <t>One Million, Two Hundred Thirty-Five Thousand, Three Hundred Eighty-One Naira and Twenty-Eight Kobo</t>
  </si>
  <si>
    <t>One Million, Eight Hundred Four Thousand, Nine Hundred Ninety-Six Naira and Eleven Kobo</t>
  </si>
  <si>
    <t>One Million, Three Hundred Twenty-Seven Thousand, Nine Hundred Thirty Naira and Forty Kobo</t>
  </si>
  <si>
    <t>Four Million, One Hundred Sixty-Seven Thousand, One Hundred Ninety-Eight Naira and Ninety-Eight Kobo</t>
  </si>
  <si>
    <t>Six Hundred Twenty Thousand, Seven Hundred Fifty-Four Naira and Six Kobo</t>
  </si>
  <si>
    <t>Three Million, Two Hundred Ninety-Eight Thousand, Nine Hundred Fifty-Three Naira and Seventy-Three Kobo</t>
  </si>
  <si>
    <t>Three Million, Seven Hundred Seventy-Six Thousand, Eight Hundred Twelve Naira and Eighty-One Kobo</t>
  </si>
  <si>
    <t>One Million, Three Hundred Twenty-Four Thousand, Three Hundred Forty-Three Naira and Thirty-Five Kobo</t>
  </si>
  <si>
    <t>Nine Hundred Thirty-Eight Thousand, Eight Hundred Eighty-Three Naira and Forty-Seven Kobo</t>
  </si>
  <si>
    <t>Seven Hundred Twenty-Three Thousand, Six Hundred Ninety-Eight Naira and Eighty-Five Kobo</t>
  </si>
  <si>
    <t>One Million, Nine Hundred Thirty-Eight Thousand, Six Hundred Seventy-Nine Naira and Forty-Four Kobo</t>
  </si>
  <si>
    <t>One Million, Six Hundred Thirty-Six Thousand, Six Hundred Eighty-Seven Naira and Fifty Kobo</t>
  </si>
  <si>
    <t>One Million, Three Hundred Sixty-Nine Thousand, Nine Hundred Ninety-Seven Naira and Thirty-Three Kobo</t>
  </si>
  <si>
    <t>One Million, One Hundred Fifty-Six Thousand, Nine Hundred Fifty-One Naira and Forty-Six Kobo</t>
  </si>
  <si>
    <t>One Million, Fifty-Three Thousand, Six Hundred Forty-Two Naira and Fifty-One Kobo</t>
  </si>
  <si>
    <t>One Million, Five Hundred Fifty-Eight Thousand, One Hundred Fourteen Naira and Seventy-Four Kobo</t>
  </si>
  <si>
    <t>One Million, Five Hundred Thousand, One Hundred Twenty-Nine Naira and Fifty-Nine Kobo</t>
  </si>
  <si>
    <t>One Million, Forty-Four Thousand, Nine Hundred Twenty Naira and Twenty-Five Kobo</t>
  </si>
  <si>
    <t>One Million, Three Hundred Fifty-Three Thousand, Four Hundred Sixty-Two Naira and Sixty-Two Kobo</t>
  </si>
  <si>
    <t>One Million, Eight Hundred Twenty-Seven Thousand, Eight Hundred Fifteen Naira and Seventy-Eight Kobo</t>
  </si>
  <si>
    <t>Two Million, Seven Hundred Forty-Two Thousand, Six Hundred Fifteen Naira and Thirty-Three Kobo</t>
  </si>
  <si>
    <t>One Million, Six Hundred Thirty-Four Thousand, Six Hundred Forty-Two Naira and Eight Kobo</t>
  </si>
  <si>
    <t>One Million, Four Hundred Seventeen Thousand, Two Hundred Ninety-One Naira and Forty-Four Kobo</t>
  </si>
  <si>
    <t>Five Hundred Seventy-Seven Thousand, Eight Hundred Fifty-One Naira and Sixteen Kobo</t>
  </si>
  <si>
    <t>One Million, Two Hundred Twenty-Nine Thousand, Four Hundred Six Naira and Eighty-Three Kobo</t>
  </si>
  <si>
    <t>One Million, Nine Hundred Forty-One Thousand, Nine Hundred Four Naira and No Kobo</t>
  </si>
  <si>
    <t>Three Million, Six Hundred Sixty-Eight Thousand, Five Hundred Sixty-Nine Naira and Eighty-One Kobo</t>
  </si>
  <si>
    <t>Three Million, Two Hundred Sixteen Thousand, Eleven Naira and Forty-Three Kobo</t>
  </si>
  <si>
    <t>Nine Hundred Three Thousand, Seven Hundred Fifty-Six Naira and Fourteen Kobo</t>
  </si>
  <si>
    <t>Seven Hundred Forty-Four Thousand, Three Hundred Five Naira and Ninety Kobo</t>
  </si>
  <si>
    <t>Two Million, One Hundred Sixty-Eight Thousand, Two Hundred Forty-Nine Naira and Sixty-Seven Kobo</t>
  </si>
  <si>
    <t>One Million, Eight Hundred Eighty-Six Thousand, Eight Hundred Eighty-Three Naira and Sixteen Kobo</t>
  </si>
  <si>
    <t>Two Million, Three Hundred Nine Thousand, Three Hundred Seventy-Six Naira and Ninety-Nine Kobo</t>
  </si>
  <si>
    <t>Two Million, Three Hundred Sixty-Four Thousand, Four Hundred Fifty-Six Naira and Two Kobo</t>
  </si>
  <si>
    <t>One Million, Nine Hundred Eighty-Five Thousand, One Hundred Sixty-Four Naira and Twelve Kobo</t>
  </si>
  <si>
    <t>One Million, Eight Hundred Forty Thousand, Seventy-Two Naira and Thirteen Kobo</t>
  </si>
  <si>
    <t>Six Million, One Hundred Seventy-Two Thousand, Sixty-Five Naira and Forty-Six Kobo</t>
  </si>
  <si>
    <t>Nine Million, Four Hundred Nineteen Thousand, Seven Hundred Ninety-Five Naira and Seven Kobo</t>
  </si>
  <si>
    <t>Two Million, One Hundred Twenty-Five Thousand, Fifty-Seven Naira and Ninety-Five Kobo</t>
  </si>
  <si>
    <t>One Million, One Hundred Thirty-Five Thousand, Three Hundred Eighty-One Naira and Twenty-Eight Kobo</t>
  </si>
  <si>
    <t>One Million, Seven Hundred Four Thousand, Nine Hundred Ninety-Six Naira and Eleven Kobo</t>
  </si>
  <si>
    <t>One Million, Two Hundred Twenty-Seven Thousand, Nine Hundred Thirty Naira and Forty Kobo</t>
  </si>
  <si>
    <t>Four Million, Sixty-Seven Thousand, One Hundred Ninety-Eight Naira and Ninety-Eight Kobo</t>
  </si>
  <si>
    <t>Five Hundred Twenty Thousand, Seven Hundred Fifty-Four Naira and Six Kobo</t>
  </si>
  <si>
    <t>Three Million, One Hundred Ninety-Eight Thousand, Nine Hundred Fifty-Three Naira and Seventy-Three Kobo</t>
  </si>
  <si>
    <t>Three Million, Six Hundred Seventy-Six Thousand, Eight Hundred Twelve Naira and Eighty-One Kobo</t>
  </si>
  <si>
    <t>One Million, Two Hundred Twenty-Four Thousand, Three Hundred Forty-Three Naira and Thirty-Five Kobo</t>
  </si>
  <si>
    <t xml:space="preserve">Processing fee </t>
  </si>
  <si>
    <t>NIN</t>
  </si>
  <si>
    <t>Sgns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</si>
</sst>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9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5E5E5"/>
      </right>
      <top/>
      <bottom style="medium">
        <color rgb="FFE5E5E5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14" fontId="3" fillId="0" borderId="0" xfId="0" applyNumberFormat="1" applyFont="1" applyAlignment="1">
      <alignment horizontal="left"/>
    </xf>
    <xf numFmtId="0" fontId="4" fillId="0" borderId="0" xfId="0" applyFont="1"/>
    <xf numFmtId="4" fontId="3" fillId="0" borderId="0" xfId="0" applyNumberFormat="1" applyFont="1"/>
    <xf numFmtId="0" fontId="2" fillId="0" borderId="0" xfId="0" applyFont="1"/>
    <xf numFmtId="49" fontId="3" fillId="0" borderId="0" xfId="0" applyNumberFormat="1" applyFont="1" applyAlignment="1">
      <alignment horizontal="left"/>
    </xf>
    <xf numFmtId="0" fontId="5" fillId="0" borderId="0" xfId="0" applyFont="1"/>
    <xf numFmtId="14" fontId="3" fillId="0" borderId="0" xfId="0" applyNumberFormat="1" applyFont="1"/>
    <xf numFmtId="1" fontId="3" fillId="0" borderId="0" xfId="0" quotePrefix="1" applyNumberFormat="1" applyFont="1"/>
    <xf numFmtId="0" fontId="4" fillId="3" borderId="0" xfId="0" quotePrefix="1" applyFont="1" applyFill="1"/>
    <xf numFmtId="0" fontId="4" fillId="0" borderId="0" xfId="0" quotePrefix="1" applyFont="1"/>
    <xf numFmtId="49" fontId="4" fillId="0" borderId="0" xfId="0" applyNumberFormat="1" applyFont="1"/>
    <xf numFmtId="14" fontId="4" fillId="0" borderId="0" xfId="0" applyNumberFormat="1" applyFont="1"/>
    <xf numFmtId="0" fontId="3" fillId="0" borderId="0" xfId="1" applyNumberFormat="1" applyFont="1"/>
    <xf numFmtId="4" fontId="3" fillId="0" borderId="0" xfId="1" applyNumberFormat="1" applyFont="1"/>
    <xf numFmtId="0" fontId="6" fillId="2" borderId="1" xfId="0" applyFont="1" applyFill="1" applyBorder="1"/>
    <xf numFmtId="14" fontId="6" fillId="2" borderId="1" xfId="0" applyNumberFormat="1" applyFont="1" applyFill="1" applyBorder="1"/>
    <xf numFmtId="0" fontId="3" fillId="2" borderId="0" xfId="0" applyFont="1" applyFill="1"/>
    <xf numFmtId="0" fontId="3" fillId="0" borderId="0" xfId="0" applyFont="1" applyAlignment="1">
      <alignment vertical="center" wrapText="1"/>
    </xf>
    <xf numFmtId="0" fontId="4" fillId="0" borderId="1" xfId="0" applyFont="1" applyBorder="1"/>
    <xf numFmtId="49" fontId="4" fillId="0" borderId="1" xfId="0" applyNumberFormat="1" applyFont="1" applyBorder="1"/>
    <xf numFmtId="14" fontId="4" fillId="0" borderId="1" xfId="0" applyNumberFormat="1" applyFont="1" applyBorder="1"/>
    <xf numFmtId="15" fontId="4" fillId="0" borderId="1" xfId="0" applyNumberFormat="1" applyFont="1" applyBorder="1"/>
    <xf numFmtId="0" fontId="6" fillId="2" borderId="2" xfId="0" applyFont="1" applyFill="1" applyBorder="1" applyAlignment="1">
      <alignment vertical="center"/>
    </xf>
    <xf numFmtId="49" fontId="7" fillId="0" borderId="0" xfId="0" applyNumberFormat="1" applyFont="1"/>
    <xf numFmtId="49" fontId="7" fillId="4" borderId="0" xfId="0" applyNumberFormat="1" applyFont="1" applyFill="1"/>
    <xf numFmtId="164" fontId="7" fillId="0" borderId="0" xfId="1" applyFont="1" applyAlignment="1"/>
    <xf numFmtId="164" fontId="7" fillId="4" borderId="0" xfId="1" applyFont="1" applyFill="1" applyAlignment="1"/>
    <xf numFmtId="0" fontId="9" fillId="0" borderId="1" xfId="0" applyFont="1" applyBorder="1" applyAlignment="1">
      <alignment horizontal="left"/>
    </xf>
    <xf numFmtId="0" fontId="10" fillId="0" borderId="1" xfId="0" applyFont="1" applyBorder="1"/>
    <xf numFmtId="0" fontId="11" fillId="0" borderId="1" xfId="0" applyFont="1" applyBorder="1"/>
    <xf numFmtId="164" fontId="10" fillId="0" borderId="1" xfId="1" applyFont="1" applyBorder="1"/>
    <xf numFmtId="0" fontId="12" fillId="0" borderId="1" xfId="0" applyFont="1" applyBorder="1"/>
    <xf numFmtId="0" fontId="7" fillId="0" borderId="0" xfId="0" applyFont="1"/>
    <xf numFmtId="4" fontId="9" fillId="0" borderId="1" xfId="0" applyNumberFormat="1" applyFont="1" applyBorder="1"/>
    <xf numFmtId="3" fontId="9" fillId="0" borderId="1" xfId="0" applyNumberFormat="1" applyFont="1" applyBorder="1"/>
    <xf numFmtId="0" fontId="13" fillId="0" borderId="1" xfId="0" applyFont="1" applyBorder="1"/>
    <xf numFmtId="4" fontId="13" fillId="0" borderId="1" xfId="0" applyNumberFormat="1" applyFont="1" applyBorder="1"/>
    <xf numFmtId="0" fontId="3" fillId="0" borderId="0" xfId="0" quotePrefix="1" applyFont="1"/>
    <xf numFmtId="0" fontId="6" fillId="2" borderId="0" xfId="0" applyFont="1" applyFill="1"/>
    <xf numFmtId="0" fontId="3" fillId="0" borderId="1" xfId="0" applyFont="1" applyBorder="1"/>
    <xf numFmtId="0" fontId="4" fillId="0" borderId="1" xfId="0" quotePrefix="1" applyFont="1" applyBorder="1"/>
    <xf numFmtId="0" fontId="0" fillId="0" borderId="0" xfId="0" applyAlignment="1">
      <alignment horizontal="left"/>
    </xf>
    <xf numFmtId="0" fontId="8" fillId="0" borderId="0" xfId="0" applyFont="1"/>
    <xf numFmtId="0" fontId="8" fillId="2" borderId="0" xfId="0" applyFont="1" applyFill="1"/>
    <xf numFmtId="164" fontId="0" fillId="2" borderId="0" xfId="1" applyFont="1" applyFill="1"/>
    <xf numFmtId="0" fontId="0" fillId="2" borderId="0" xfId="0" applyFill="1"/>
    <xf numFmtId="4" fontId="9" fillId="0" borderId="0" xfId="0" applyNumberFormat="1" applyFont="1" applyBorder="1"/>
    <xf numFmtId="0" fontId="14" fillId="0" borderId="0" xfId="0" applyFont="1"/>
    <xf numFmtId="0" fontId="10" fillId="0" borderId="3" xfId="0" applyFont="1" applyFill="1" applyBorder="1"/>
  </cellXfs>
  <cellStyles count="2">
    <cellStyle name="Comma" xfId="1" builtinId="3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namadina/Downloads/detailedrsabalance%20(42).csv" TargetMode="External"/><Relationship Id="rId1" Type="http://schemas.openxmlformats.org/officeDocument/2006/relationships/externalLinkPath" Target="/Users/anamadina/Downloads/detailedrsabalance%20(42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tailedrsabalance (42)"/>
    </sheetNames>
    <sheetDataSet>
      <sheetData sheetId="0">
        <row r="1">
          <cell r="B1" t="str">
            <v>PIN</v>
          </cell>
          <cell r="C1" t="str">
            <v>Names</v>
          </cell>
          <cell r="D1" t="str">
            <v>GENDER</v>
          </cell>
          <cell r="E1" t="str">
            <v>Employer_Code</v>
          </cell>
          <cell r="F1" t="str">
            <v>EMPLOYER</v>
          </cell>
          <cell r="G1" t="str">
            <v>Sector</v>
          </cell>
          <cell r="H1" t="str">
            <v>Registration_Date</v>
          </cell>
          <cell r="I1" t="str">
            <v>Date_of_First_Exit</v>
          </cell>
          <cell r="J1" t="str">
            <v>Date_of_Last_Payment</v>
          </cell>
          <cell r="K1" t="str">
            <v>VolContr</v>
          </cell>
          <cell r="L1" t="str">
            <v>VolGrowth</v>
          </cell>
          <cell r="M1" t="str">
            <v>VolWtdr</v>
          </cell>
          <cell r="N1" t="str">
            <v>VolBal</v>
          </cell>
          <cell r="O1" t="str">
            <v>LegNsitfContr</v>
          </cell>
          <cell r="P1" t="str">
            <v>LegNsitfGrowth</v>
          </cell>
          <cell r="Q1" t="str">
            <v>LegNsitfWtdr</v>
          </cell>
          <cell r="R1" t="str">
            <v>LegNsitfBal</v>
          </cell>
          <cell r="S1" t="str">
            <v>ManContr</v>
          </cell>
          <cell r="T1" t="str">
            <v>ManGrowth</v>
          </cell>
          <cell r="U1" t="str">
            <v>ManWtdr</v>
          </cell>
          <cell r="V1" t="str">
            <v>ManBal</v>
          </cell>
          <cell r="W1" t="str">
            <v>totGrowth</v>
          </cell>
          <cell r="X1" t="str">
            <v>recapture_status</v>
          </cell>
          <cell r="Y1" t="str">
            <v>FUND_CODE1</v>
          </cell>
          <cell r="Z1" t="str">
            <v>RSABalance1</v>
          </cell>
        </row>
        <row r="2">
          <cell r="B2" t="str">
            <v>PEN100002608922</v>
          </cell>
          <cell r="D2" t="str">
            <v>M</v>
          </cell>
          <cell r="E2" t="str">
            <v>PU000038B001</v>
          </cell>
          <cell r="F2" t="str">
            <v>NIGERIAN TELEVISION AUTHORITY (NTA)</v>
          </cell>
          <cell r="G2" t="str">
            <v>Public</v>
          </cell>
          <cell r="H2">
            <v>46272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13241679.880000001</v>
          </cell>
          <cell r="T2">
            <v>87426.08</v>
          </cell>
          <cell r="U2">
            <v>0</v>
          </cell>
          <cell r="V2">
            <v>13329105.960000001</v>
          </cell>
          <cell r="W2">
            <v>87426.08</v>
          </cell>
          <cell r="X2" t="str">
            <v>No Data Request</v>
          </cell>
          <cell r="Y2" t="str">
            <v>FUND3</v>
          </cell>
          <cell r="Z2">
            <v>13329105.960000001</v>
          </cell>
        </row>
        <row r="3">
          <cell r="B3" t="str">
            <v>PEN100011517715</v>
          </cell>
          <cell r="C3" t="str">
            <v>IBRAHIM  SHEHU</v>
          </cell>
          <cell r="D3" t="str">
            <v>M</v>
          </cell>
          <cell r="E3" t="str">
            <v>PU000036F003</v>
          </cell>
          <cell r="F3" t="str">
            <v>NATIONAL PRIMARY HEALTH CARE DEVELOPMENT AGENCY</v>
          </cell>
          <cell r="G3" t="str">
            <v>Public</v>
          </cell>
          <cell r="H3">
            <v>39025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1717891.47</v>
          </cell>
          <cell r="T3">
            <v>2943290.39</v>
          </cell>
          <cell r="U3">
            <v>0</v>
          </cell>
          <cell r="V3">
            <v>4661181.8600000003</v>
          </cell>
          <cell r="W3">
            <v>2943290.39</v>
          </cell>
          <cell r="X3" t="str">
            <v>No Data Request</v>
          </cell>
          <cell r="Y3" t="str">
            <v>FUND2</v>
          </cell>
          <cell r="Z3">
            <v>4661181.8600000003</v>
          </cell>
        </row>
        <row r="4">
          <cell r="B4" t="str">
            <v>PEN100015356002</v>
          </cell>
          <cell r="C4" t="str">
            <v>BALA MOHAMMEDAHMED</v>
          </cell>
          <cell r="D4" t="str">
            <v>M</v>
          </cell>
          <cell r="E4" t="str">
            <v>PU000039B001</v>
          </cell>
          <cell r="F4" t="str">
            <v xml:space="preserve">PRISONS                                 </v>
          </cell>
          <cell r="G4" t="str">
            <v>Public</v>
          </cell>
          <cell r="H4">
            <v>39025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2325876.5</v>
          </cell>
          <cell r="T4">
            <v>5512798.79</v>
          </cell>
          <cell r="U4">
            <v>0</v>
          </cell>
          <cell r="V4">
            <v>7838675.29</v>
          </cell>
          <cell r="W4">
            <v>5512798.79</v>
          </cell>
          <cell r="X4" t="str">
            <v>Recapture Successful</v>
          </cell>
          <cell r="Y4" t="str">
            <v>FUND3</v>
          </cell>
          <cell r="Z4">
            <v>7838675.29</v>
          </cell>
        </row>
        <row r="5">
          <cell r="B5" t="str">
            <v>PEN100034338914</v>
          </cell>
          <cell r="C5" t="str">
            <v>CHARLES MSUGHUSHAH</v>
          </cell>
          <cell r="D5" t="str">
            <v>M</v>
          </cell>
          <cell r="E5" t="str">
            <v>PR0000763430</v>
          </cell>
          <cell r="F5" t="str">
            <v>RHIZOME CONSULTING LIMITED</v>
          </cell>
          <cell r="G5" t="str">
            <v>Private</v>
          </cell>
          <cell r="H5">
            <v>45931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30325720.98</v>
          </cell>
          <cell r="T5">
            <v>8138097.5</v>
          </cell>
          <cell r="U5">
            <v>0</v>
          </cell>
          <cell r="V5">
            <v>38463818.479999997</v>
          </cell>
          <cell r="W5">
            <v>8138097.5</v>
          </cell>
          <cell r="X5" t="str">
            <v>No Data Request</v>
          </cell>
          <cell r="Y5" t="str">
            <v>FUND3</v>
          </cell>
          <cell r="Z5">
            <v>38463818.479999997</v>
          </cell>
        </row>
        <row r="6">
          <cell r="B6" t="str">
            <v>PEN100061835111</v>
          </cell>
          <cell r="C6" t="str">
            <v>RABIU RABIUAUDU</v>
          </cell>
          <cell r="D6" t="str">
            <v>M</v>
          </cell>
          <cell r="E6" t="str">
            <v>PR0000039785</v>
          </cell>
          <cell r="F6" t="str">
            <v>GONGONI COMPANY LIMITED KANO</v>
          </cell>
          <cell r="G6" t="str">
            <v>Private</v>
          </cell>
          <cell r="H6" t="str">
            <v>5/18/2006 12:00:00 AM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34360.61</v>
          </cell>
          <cell r="P6">
            <v>161620.4</v>
          </cell>
          <cell r="Q6">
            <v>0</v>
          </cell>
          <cell r="R6">
            <v>195981.01</v>
          </cell>
          <cell r="S6">
            <v>2122660.64</v>
          </cell>
          <cell r="T6">
            <v>3812043.81</v>
          </cell>
          <cell r="U6">
            <v>-215</v>
          </cell>
          <cell r="V6">
            <v>5934489.4500000002</v>
          </cell>
          <cell r="W6">
            <v>3973664.21</v>
          </cell>
          <cell r="X6" t="str">
            <v>No Data Request</v>
          </cell>
          <cell r="Y6" t="str">
            <v>FUND3</v>
          </cell>
          <cell r="Z6">
            <v>6130470.46</v>
          </cell>
        </row>
        <row r="7">
          <cell r="B7" t="str">
            <v>PEN100096143517</v>
          </cell>
          <cell r="D7" t="str">
            <v>M</v>
          </cell>
          <cell r="E7" t="str">
            <v>PU0000230001</v>
          </cell>
          <cell r="F7" t="str">
            <v>POLICE FORMATION &amp; COMMAND</v>
          </cell>
          <cell r="G7" t="str">
            <v>Public</v>
          </cell>
          <cell r="H7">
            <v>46272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8340036.2199999997</v>
          </cell>
          <cell r="T7">
            <v>84869.33</v>
          </cell>
          <cell r="U7">
            <v>0</v>
          </cell>
          <cell r="V7">
            <v>8424905.5500000007</v>
          </cell>
          <cell r="W7">
            <v>84869.33</v>
          </cell>
          <cell r="X7" t="str">
            <v>No Data Request</v>
          </cell>
          <cell r="Y7" t="str">
            <v>FUND2</v>
          </cell>
          <cell r="Z7">
            <v>8424905.5500000007</v>
          </cell>
        </row>
        <row r="8">
          <cell r="B8" t="str">
            <v>PEN100395527831</v>
          </cell>
          <cell r="D8" t="str">
            <v>M</v>
          </cell>
          <cell r="E8" t="str">
            <v>PU000041C007</v>
          </cell>
          <cell r="F8" t="str">
            <v>CUSTOMARY COURT OF APPEAL FCT ABUJA</v>
          </cell>
          <cell r="G8" t="str">
            <v>Public</v>
          </cell>
          <cell r="H8">
            <v>46272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5027431.91</v>
          </cell>
          <cell r="T8">
            <v>51159.83</v>
          </cell>
          <cell r="U8">
            <v>0</v>
          </cell>
          <cell r="V8">
            <v>5078591.74</v>
          </cell>
          <cell r="W8">
            <v>51159.83</v>
          </cell>
          <cell r="X8" t="str">
            <v>No Data Request</v>
          </cell>
          <cell r="Y8" t="str">
            <v>FUND2</v>
          </cell>
          <cell r="Z8">
            <v>5078591.74</v>
          </cell>
        </row>
        <row r="9">
          <cell r="B9" t="str">
            <v>PEN100438799025</v>
          </cell>
          <cell r="C9" t="str">
            <v>ANWAR MOHAMMEDHARUNA</v>
          </cell>
          <cell r="D9" t="str">
            <v>M</v>
          </cell>
          <cell r="E9" t="str">
            <v>PU000035B001</v>
          </cell>
          <cell r="F9" t="str">
            <v xml:space="preserve">NIGERIAN CUSTOMS SERVICE                </v>
          </cell>
          <cell r="G9" t="str">
            <v>Public</v>
          </cell>
          <cell r="H9" t="str">
            <v>3/26/2009 12:00:00 AM</v>
          </cell>
          <cell r="K9">
            <v>180.15</v>
          </cell>
          <cell r="L9">
            <v>461.46</v>
          </cell>
          <cell r="M9">
            <v>0</v>
          </cell>
          <cell r="N9">
            <v>641.61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8919985.1199999992</v>
          </cell>
          <cell r="T9">
            <v>7916540.8499999996</v>
          </cell>
          <cell r="U9">
            <v>0</v>
          </cell>
          <cell r="V9">
            <v>16836525.969999999</v>
          </cell>
          <cell r="W9">
            <v>7917002.3099999996</v>
          </cell>
          <cell r="X9" t="str">
            <v>Recapture Successful</v>
          </cell>
          <cell r="Y9" t="str">
            <v>FUND2</v>
          </cell>
          <cell r="Z9">
            <v>16837167.579999998</v>
          </cell>
        </row>
        <row r="10">
          <cell r="B10" t="str">
            <v>PEN100451710518</v>
          </cell>
          <cell r="C10" t="str">
            <v>ADEKUNLE FAMOUSADENIYI</v>
          </cell>
          <cell r="D10" t="str">
            <v>M</v>
          </cell>
          <cell r="E10" t="str">
            <v>PU000035B001</v>
          </cell>
          <cell r="F10" t="str">
            <v xml:space="preserve">NIGERIAN CUSTOMS SERVICE                </v>
          </cell>
          <cell r="G10" t="str">
            <v>Public</v>
          </cell>
          <cell r="H10">
            <v>40092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5344512.8499999996</v>
          </cell>
          <cell r="T10">
            <v>8053513.1399999997</v>
          </cell>
          <cell r="U10">
            <v>0</v>
          </cell>
          <cell r="V10">
            <v>13398025.99</v>
          </cell>
          <cell r="W10">
            <v>8053513.1399999997</v>
          </cell>
          <cell r="X10" t="str">
            <v>No Data Request</v>
          </cell>
          <cell r="Y10" t="str">
            <v>FUND2</v>
          </cell>
          <cell r="Z10">
            <v>13398025.99</v>
          </cell>
        </row>
        <row r="11">
          <cell r="B11" t="str">
            <v>PEN100484351016</v>
          </cell>
          <cell r="C11" t="str">
            <v>SANUSI ABUBAKARMOHAMMED</v>
          </cell>
          <cell r="D11" t="str">
            <v>M</v>
          </cell>
          <cell r="E11" t="str">
            <v>PU000032D013</v>
          </cell>
          <cell r="F11" t="str">
            <v xml:space="preserve">USMAN DAN FODIO UNIVERSITY SOKOTO       </v>
          </cell>
          <cell r="G11" t="str">
            <v>Public</v>
          </cell>
          <cell r="H11" t="str">
            <v>12/14/2009 12:00:00 AM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1124100.54</v>
          </cell>
          <cell r="T11">
            <v>2287236.4300000002</v>
          </cell>
          <cell r="U11">
            <v>0</v>
          </cell>
          <cell r="V11">
            <v>3411336.97</v>
          </cell>
          <cell r="W11">
            <v>2287236.4300000002</v>
          </cell>
          <cell r="X11" t="str">
            <v>No Data Request</v>
          </cell>
          <cell r="Y11" t="str">
            <v>FUND2</v>
          </cell>
          <cell r="Z11">
            <v>3411336.97</v>
          </cell>
        </row>
        <row r="12">
          <cell r="B12" t="str">
            <v>PEN100504974713</v>
          </cell>
          <cell r="C12" t="str">
            <v>SAIDU BAZAM</v>
          </cell>
          <cell r="D12" t="str">
            <v>M</v>
          </cell>
          <cell r="E12" t="str">
            <v>PU000039B008</v>
          </cell>
          <cell r="F12" t="str">
            <v>NIGERIAN SECURITY AND CIVIL DEFENCE CORP</v>
          </cell>
          <cell r="G12" t="str">
            <v>Public</v>
          </cell>
          <cell r="H12" t="str">
            <v>5/24/2010 12:00:00 AM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2088163.43</v>
          </cell>
          <cell r="T12">
            <v>2537884.4900000002</v>
          </cell>
          <cell r="U12">
            <v>-107.5</v>
          </cell>
          <cell r="V12">
            <v>4625940.42</v>
          </cell>
          <cell r="W12">
            <v>2537884.4900000002</v>
          </cell>
          <cell r="X12" t="str">
            <v>Recapture Pending</v>
          </cell>
          <cell r="Y12" t="str">
            <v>FUND2</v>
          </cell>
          <cell r="Z12">
            <v>4625940.42</v>
          </cell>
        </row>
        <row r="13">
          <cell r="B13" t="str">
            <v>PEN100504974815</v>
          </cell>
          <cell r="C13" t="str">
            <v>GARBA YUSUF</v>
          </cell>
          <cell r="D13" t="str">
            <v>M</v>
          </cell>
          <cell r="E13" t="str">
            <v>PU000039B008</v>
          </cell>
          <cell r="F13" t="str">
            <v>NIGERIAN SECURITY AND CIVIL DEFENCE CORP</v>
          </cell>
          <cell r="G13" t="str">
            <v>Public</v>
          </cell>
          <cell r="H13" t="str">
            <v>5/24/2010 12:00:00 AM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2234256.9900000002</v>
          </cell>
          <cell r="T13">
            <v>3738138.75</v>
          </cell>
          <cell r="U13">
            <v>-99819.49</v>
          </cell>
          <cell r="V13">
            <v>5872576.25</v>
          </cell>
          <cell r="W13">
            <v>3738138.75</v>
          </cell>
          <cell r="X13" t="str">
            <v>No Data Request</v>
          </cell>
          <cell r="Y13" t="str">
            <v>FUND2</v>
          </cell>
          <cell r="Z13">
            <v>5872576.25</v>
          </cell>
        </row>
        <row r="14">
          <cell r="B14" t="str">
            <v>PEN100513326812</v>
          </cell>
          <cell r="C14" t="str">
            <v>MUHAMMEDKABIRU KABIRUIBRAHIM</v>
          </cell>
          <cell r="D14" t="str">
            <v>M</v>
          </cell>
          <cell r="E14" t="str">
            <v>PU0000300001</v>
          </cell>
          <cell r="F14" t="str">
            <v xml:space="preserve">MINISTRY OF DEFENCE                     </v>
          </cell>
          <cell r="G14" t="str">
            <v>Public</v>
          </cell>
          <cell r="H14">
            <v>40305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4580883.7699999996</v>
          </cell>
          <cell r="T14">
            <v>4409249.38</v>
          </cell>
          <cell r="U14">
            <v>0</v>
          </cell>
          <cell r="V14">
            <v>8990133.1500000004</v>
          </cell>
          <cell r="W14">
            <v>4409249.38</v>
          </cell>
          <cell r="X14" t="str">
            <v>Recapture Successful</v>
          </cell>
          <cell r="Y14" t="str">
            <v>FUND3</v>
          </cell>
          <cell r="Z14">
            <v>8990133.1500000004</v>
          </cell>
        </row>
        <row r="15">
          <cell r="B15" t="str">
            <v>PEN100596472717</v>
          </cell>
          <cell r="C15" t="str">
            <v>ABUBAKAR YABOABDULLAHI</v>
          </cell>
          <cell r="D15" t="str">
            <v>M</v>
          </cell>
          <cell r="E15" t="str">
            <v>PU000036B012</v>
          </cell>
          <cell r="F15" t="str">
            <v xml:space="preserve">UDTH, SOKOTO </v>
          </cell>
          <cell r="G15" t="str">
            <v>Public</v>
          </cell>
          <cell r="H15">
            <v>41066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4076847.92</v>
          </cell>
          <cell r="T15">
            <v>5658008.5999999996</v>
          </cell>
          <cell r="U15">
            <v>0</v>
          </cell>
          <cell r="V15">
            <v>9734856.5199999996</v>
          </cell>
          <cell r="W15">
            <v>5658008.5999999996</v>
          </cell>
          <cell r="X15" t="str">
            <v>No Data Request</v>
          </cell>
          <cell r="Y15" t="str">
            <v>FUND2</v>
          </cell>
          <cell r="Z15">
            <v>9734856.5199999996</v>
          </cell>
        </row>
        <row r="16">
          <cell r="B16" t="str">
            <v>PEN100627723714</v>
          </cell>
          <cell r="C16" t="str">
            <v>IBRAHIM USMANMUHAMMAD</v>
          </cell>
          <cell r="D16" t="str">
            <v>M</v>
          </cell>
          <cell r="E16" t="str">
            <v>PU000035B001</v>
          </cell>
          <cell r="F16" t="str">
            <v xml:space="preserve">NIGERIAN CUSTOMS SERVICE                </v>
          </cell>
          <cell r="G16" t="str">
            <v>Public</v>
          </cell>
          <cell r="H16">
            <v>41457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10760456.859999999</v>
          </cell>
          <cell r="T16">
            <v>14581221.779999999</v>
          </cell>
          <cell r="U16">
            <v>0</v>
          </cell>
          <cell r="V16">
            <v>25341678.640000001</v>
          </cell>
          <cell r="W16">
            <v>14581221.779999999</v>
          </cell>
          <cell r="X16" t="str">
            <v>No Data Request</v>
          </cell>
          <cell r="Y16" t="str">
            <v>FUND2</v>
          </cell>
          <cell r="Z16">
            <v>25341678.640000001</v>
          </cell>
        </row>
        <row r="17">
          <cell r="B17" t="str">
            <v>PEN100629256814</v>
          </cell>
          <cell r="C17" t="str">
            <v>GODWIN SULEMAN</v>
          </cell>
          <cell r="D17" t="str">
            <v>M</v>
          </cell>
          <cell r="E17" t="str">
            <v>PU000039B008</v>
          </cell>
          <cell r="F17" t="str">
            <v>NIGERIAN SECURITY AND CIVIL DEFENCE CORP</v>
          </cell>
          <cell r="G17" t="str">
            <v>Public</v>
          </cell>
          <cell r="H17">
            <v>41488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2219372.69</v>
          </cell>
          <cell r="T17">
            <v>3146110.18</v>
          </cell>
          <cell r="U17">
            <v>-107.5</v>
          </cell>
          <cell r="V17">
            <v>5365375.37</v>
          </cell>
          <cell r="W17">
            <v>3146110.18</v>
          </cell>
          <cell r="X17" t="str">
            <v>No Data Request</v>
          </cell>
          <cell r="Y17" t="str">
            <v>FUND2</v>
          </cell>
          <cell r="Z17">
            <v>5365375.37</v>
          </cell>
        </row>
        <row r="18">
          <cell r="B18" t="str">
            <v>PEN100645297619</v>
          </cell>
          <cell r="C18" t="str">
            <v>LATEEF ADEKOLAISIOYE</v>
          </cell>
          <cell r="D18" t="str">
            <v>M</v>
          </cell>
          <cell r="E18" t="str">
            <v>PU000038B001</v>
          </cell>
          <cell r="F18" t="str">
            <v>NIGERIAN TELEVISION AUTHORITY (NTA)</v>
          </cell>
          <cell r="G18" t="str">
            <v>Public</v>
          </cell>
          <cell r="H18">
            <v>46272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5296979.49</v>
          </cell>
          <cell r="T18">
            <v>53902.75</v>
          </cell>
          <cell r="U18">
            <v>0</v>
          </cell>
          <cell r="V18">
            <v>5350882.24</v>
          </cell>
          <cell r="W18">
            <v>53902.75</v>
          </cell>
          <cell r="X18" t="str">
            <v>No Data Request</v>
          </cell>
          <cell r="Y18" t="str">
            <v>FUND2</v>
          </cell>
          <cell r="Z18">
            <v>5350882.24</v>
          </cell>
        </row>
        <row r="19">
          <cell r="B19" t="str">
            <v>PEN100653758514</v>
          </cell>
          <cell r="C19" t="str">
            <v>ABDULAZEEZ SALIHU</v>
          </cell>
          <cell r="D19" t="str">
            <v>M</v>
          </cell>
          <cell r="E19" t="str">
            <v>PU000032D013</v>
          </cell>
          <cell r="F19" t="str">
            <v xml:space="preserve">USMAN DAN FODIO UNIVERSITY SOKOTO       </v>
          </cell>
          <cell r="G19" t="str">
            <v>Public</v>
          </cell>
          <cell r="H19" t="str">
            <v>6/21/2013 12:00:00 AM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3306153.87</v>
          </cell>
          <cell r="T19">
            <v>4721656.87</v>
          </cell>
          <cell r="U19">
            <v>0</v>
          </cell>
          <cell r="V19">
            <v>8027810.7400000002</v>
          </cell>
          <cell r="W19">
            <v>4721656.87</v>
          </cell>
          <cell r="X19" t="str">
            <v>No Data Request</v>
          </cell>
          <cell r="Y19" t="str">
            <v>FUND2</v>
          </cell>
          <cell r="Z19">
            <v>8027810.7400000002</v>
          </cell>
        </row>
        <row r="20">
          <cell r="B20" t="str">
            <v>PEN100735489218</v>
          </cell>
          <cell r="C20" t="str">
            <v>SULEIMAN MUHAMMADISYAKU</v>
          </cell>
          <cell r="D20" t="str">
            <v>M</v>
          </cell>
          <cell r="E20" t="str">
            <v>PU000032D035</v>
          </cell>
          <cell r="F20" t="str">
            <v>FEDERAL UNIVERSITY DUTSE</v>
          </cell>
          <cell r="G20" t="str">
            <v>Public</v>
          </cell>
          <cell r="H20" t="str">
            <v>3/20/2015 12:00:00 AM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3638505.03</v>
          </cell>
          <cell r="T20">
            <v>2826665.03</v>
          </cell>
          <cell r="U20">
            <v>0</v>
          </cell>
          <cell r="V20">
            <v>6465170.0599999996</v>
          </cell>
          <cell r="W20">
            <v>2826665.03</v>
          </cell>
          <cell r="X20" t="str">
            <v>No Data Request</v>
          </cell>
          <cell r="Y20" t="str">
            <v>FUND2</v>
          </cell>
          <cell r="Z20">
            <v>6465170.0599999996</v>
          </cell>
        </row>
        <row r="21">
          <cell r="B21" t="str">
            <v>PEN100742260916</v>
          </cell>
          <cell r="C21" t="str">
            <v>RAZAK SANUSI</v>
          </cell>
          <cell r="D21" t="str">
            <v>M</v>
          </cell>
          <cell r="E21" t="str">
            <v>PR0000083458</v>
          </cell>
          <cell r="F21" t="str">
            <v>FAS AGRO INDUSTRIAL COMPANY LIMITED</v>
          </cell>
          <cell r="G21" t="str">
            <v>Private</v>
          </cell>
          <cell r="H21">
            <v>42221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1387625</v>
          </cell>
          <cell r="T21">
            <v>1351382.56</v>
          </cell>
          <cell r="U21">
            <v>-215</v>
          </cell>
          <cell r="V21">
            <v>2738792.56</v>
          </cell>
          <cell r="W21">
            <v>1351382.56</v>
          </cell>
          <cell r="X21" t="str">
            <v>No Data Request</v>
          </cell>
          <cell r="Y21" t="str">
            <v>FUND3</v>
          </cell>
          <cell r="Z21">
            <v>2738792.56</v>
          </cell>
        </row>
        <row r="22">
          <cell r="B22" t="str">
            <v>PEN100778174322</v>
          </cell>
          <cell r="C22" t="str">
            <v>YUSUF TANIMUSALAHUDEEN</v>
          </cell>
          <cell r="D22" t="str">
            <v>M</v>
          </cell>
          <cell r="E22" t="str">
            <v>PU000049B012</v>
          </cell>
          <cell r="F22" t="str">
            <v>COUNCIL FOR THE REGULATION OF FREIGHT FORWARDING IN NIGERIA</v>
          </cell>
          <cell r="G22" t="str">
            <v>Public</v>
          </cell>
          <cell r="H22">
            <v>42432</v>
          </cell>
          <cell r="K22">
            <v>16339.15</v>
          </cell>
          <cell r="L22">
            <v>24043.759999999998</v>
          </cell>
          <cell r="M22">
            <v>0</v>
          </cell>
          <cell r="N22">
            <v>40382.910000000003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2020759.38</v>
          </cell>
          <cell r="T22">
            <v>1994438.09</v>
          </cell>
          <cell r="U22">
            <v>0</v>
          </cell>
          <cell r="V22">
            <v>4015197.47</v>
          </cell>
          <cell r="W22">
            <v>2018481.85</v>
          </cell>
          <cell r="X22" t="str">
            <v>Recapture Successful</v>
          </cell>
          <cell r="Y22" t="str">
            <v>FUND2</v>
          </cell>
          <cell r="Z22">
            <v>4055580.38</v>
          </cell>
        </row>
        <row r="23">
          <cell r="B23" t="str">
            <v>PEN100780654420</v>
          </cell>
          <cell r="C23" t="str">
            <v>EMMANUEL DUWONGSBULUS</v>
          </cell>
          <cell r="D23" t="str">
            <v>M</v>
          </cell>
          <cell r="E23" t="str">
            <v>PU000044B047</v>
          </cell>
          <cell r="F23" t="str">
            <v>NATIONAL BIOTECHNOLOGICAL DEVELOPMENT AG</v>
          </cell>
          <cell r="G23" t="str">
            <v>Public</v>
          </cell>
          <cell r="H23" t="str">
            <v>2/28/2016 12:00:00 AM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4224973.3</v>
          </cell>
          <cell r="T23">
            <v>4025143.87</v>
          </cell>
          <cell r="U23">
            <v>0</v>
          </cell>
          <cell r="V23">
            <v>8250117.1699999999</v>
          </cell>
          <cell r="W23">
            <v>4025143.87</v>
          </cell>
          <cell r="X23" t="str">
            <v>No Data Request</v>
          </cell>
          <cell r="Y23" t="str">
            <v>FUND2</v>
          </cell>
          <cell r="Z23">
            <v>8250117.1699999999</v>
          </cell>
        </row>
        <row r="24">
          <cell r="B24" t="str">
            <v>PEN100781276614</v>
          </cell>
          <cell r="C24" t="str">
            <v>YUSUF DATTIMUHAMMAD</v>
          </cell>
          <cell r="D24" t="str">
            <v>M</v>
          </cell>
          <cell r="E24" t="str">
            <v>PU0000400013</v>
          </cell>
          <cell r="F24" t="str">
            <v>CIVIL SERVICE COLLEGE</v>
          </cell>
          <cell r="G24" t="str">
            <v>Public</v>
          </cell>
          <cell r="H24" t="str">
            <v>2/26/2016 12:00:00 AM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3051427.33</v>
          </cell>
          <cell r="T24">
            <v>3648133.65</v>
          </cell>
          <cell r="U24">
            <v>-107.5</v>
          </cell>
          <cell r="V24">
            <v>6699453.4800000004</v>
          </cell>
          <cell r="W24">
            <v>3648133.65</v>
          </cell>
          <cell r="X24" t="str">
            <v>Recapture Successful</v>
          </cell>
          <cell r="Y24" t="str">
            <v>FUND2</v>
          </cell>
          <cell r="Z24">
            <v>6699453.4800000004</v>
          </cell>
        </row>
        <row r="25">
          <cell r="B25" t="str">
            <v>PEN100890743315</v>
          </cell>
          <cell r="C25" t="str">
            <v>NURU DANLADIMUSA</v>
          </cell>
          <cell r="D25" t="str">
            <v>M</v>
          </cell>
          <cell r="E25" t="str">
            <v>PU000035D001</v>
          </cell>
          <cell r="F25" t="str">
            <v>FEDERAL INLAND REVENUE SERVICE</v>
          </cell>
          <cell r="G25" t="str">
            <v>Public</v>
          </cell>
          <cell r="H25" t="str">
            <v>5/16/2018 12:00:00 AM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7921787.0499999998</v>
          </cell>
          <cell r="T25">
            <v>7304757.6399999997</v>
          </cell>
          <cell r="U25">
            <v>0</v>
          </cell>
          <cell r="V25">
            <v>15226544.689999999</v>
          </cell>
          <cell r="W25">
            <v>7304757.6399999997</v>
          </cell>
          <cell r="X25" t="str">
            <v>Recapture Successful</v>
          </cell>
          <cell r="Y25" t="str">
            <v>FUND2</v>
          </cell>
          <cell r="Z25">
            <v>15226544.689999999</v>
          </cell>
        </row>
        <row r="26">
          <cell r="B26" t="str">
            <v>PEN100896108218</v>
          </cell>
          <cell r="C26" t="str">
            <v>SANI YARYASAISMAIL</v>
          </cell>
          <cell r="D26" t="str">
            <v>M</v>
          </cell>
          <cell r="E26" t="str">
            <v>PU000020D008</v>
          </cell>
          <cell r="F26" t="str">
            <v xml:space="preserve">ECONOMIC &amp; FINANCIAL CRIMES COMMISSION  </v>
          </cell>
          <cell r="G26" t="str">
            <v>Public</v>
          </cell>
          <cell r="H26">
            <v>43440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3909271.17</v>
          </cell>
          <cell r="T26">
            <v>3099383.69</v>
          </cell>
          <cell r="U26">
            <v>0</v>
          </cell>
          <cell r="V26">
            <v>7008654.8600000003</v>
          </cell>
          <cell r="W26">
            <v>3099383.69</v>
          </cell>
          <cell r="X26" t="str">
            <v>No Data Request</v>
          </cell>
          <cell r="Y26" t="str">
            <v>FUND2</v>
          </cell>
          <cell r="Z26">
            <v>7008654.8600000003</v>
          </cell>
        </row>
        <row r="27">
          <cell r="B27" t="str">
            <v>PEN110010173866</v>
          </cell>
          <cell r="C27" t="str">
            <v>ABDULAZEEZ SHUAIBUSMAN</v>
          </cell>
          <cell r="D27" t="str">
            <v>M</v>
          </cell>
          <cell r="E27" t="str">
            <v>PU000044B038</v>
          </cell>
          <cell r="F27" t="str">
            <v>NATIONAL SPACE RES. &amp; DEVELOPMENT AGENCY ABUJA</v>
          </cell>
          <cell r="G27" t="str">
            <v>Public</v>
          </cell>
          <cell r="H27">
            <v>43476.408599537041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3067546.01</v>
          </cell>
          <cell r="T27">
            <v>2303794.7000000002</v>
          </cell>
          <cell r="U27">
            <v>0</v>
          </cell>
          <cell r="V27">
            <v>5371340.71</v>
          </cell>
          <cell r="W27">
            <v>2303794.7000000002</v>
          </cell>
          <cell r="X27" t="str">
            <v>PIN does not require data-recapture</v>
          </cell>
          <cell r="Y27" t="str">
            <v>FUND2</v>
          </cell>
          <cell r="Z27">
            <v>5371340.71</v>
          </cell>
        </row>
        <row r="28">
          <cell r="B28" t="str">
            <v>PEN110053497784</v>
          </cell>
          <cell r="C28" t="str">
            <v>JERRY DANIELWANIYO</v>
          </cell>
          <cell r="D28" t="str">
            <v>M</v>
          </cell>
          <cell r="E28" t="str">
            <v>PU000039B001</v>
          </cell>
          <cell r="F28" t="str">
            <v>PRISONS</v>
          </cell>
          <cell r="G28" t="str">
            <v>Public</v>
          </cell>
          <cell r="H28">
            <v>44502.656724537039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1369163.9</v>
          </cell>
          <cell r="T28">
            <v>1139040.83</v>
          </cell>
          <cell r="U28">
            <v>-107.5</v>
          </cell>
          <cell r="V28">
            <v>2508097.23</v>
          </cell>
          <cell r="W28">
            <v>1139040.83</v>
          </cell>
          <cell r="X28" t="str">
            <v>PIN does not require data-recapture</v>
          </cell>
          <cell r="Y28" t="str">
            <v>FUND2</v>
          </cell>
          <cell r="Z28">
            <v>2508097.23</v>
          </cell>
        </row>
        <row r="29">
          <cell r="B29" t="str">
            <v>PEN200002608888</v>
          </cell>
          <cell r="C29" t="str">
            <v>IGANYA LAURAONIGBODE</v>
          </cell>
          <cell r="D29" t="str">
            <v>F</v>
          </cell>
          <cell r="E29" t="str">
            <v>PU000038B001</v>
          </cell>
          <cell r="F29" t="str">
            <v>NIGERIAN TELEVISION AUTHORITY (NTA)</v>
          </cell>
          <cell r="G29" t="str">
            <v>Public</v>
          </cell>
          <cell r="H29">
            <v>46272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15159759.859999999</v>
          </cell>
          <cell r="T29">
            <v>100089.88</v>
          </cell>
          <cell r="U29">
            <v>0</v>
          </cell>
          <cell r="V29">
            <v>15259849.74</v>
          </cell>
          <cell r="W29">
            <v>100089.88</v>
          </cell>
          <cell r="X29" t="str">
            <v>No Data Request</v>
          </cell>
          <cell r="Y29" t="str">
            <v>FUND3</v>
          </cell>
          <cell r="Z29">
            <v>15259849.74</v>
          </cell>
        </row>
        <row r="30">
          <cell r="B30" t="str">
            <v>PEN200005759211</v>
          </cell>
          <cell r="C30" t="str">
            <v>KARIMATU IMAMAMINU</v>
          </cell>
          <cell r="D30" t="str">
            <v>F</v>
          </cell>
          <cell r="E30" t="str">
            <v>PU000036B013</v>
          </cell>
          <cell r="F30" t="str">
            <v xml:space="preserve">AMINU KANO TEACHING HOSPITAL KANO       </v>
          </cell>
          <cell r="G30" t="str">
            <v>Public</v>
          </cell>
          <cell r="H30">
            <v>39025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2829571.33</v>
          </cell>
          <cell r="T30">
            <v>4959583.34</v>
          </cell>
          <cell r="U30">
            <v>0</v>
          </cell>
          <cell r="V30">
            <v>7789154.6699999999</v>
          </cell>
          <cell r="W30">
            <v>4959583.34</v>
          </cell>
          <cell r="X30" t="str">
            <v>Recapture Successful</v>
          </cell>
          <cell r="Y30" t="str">
            <v>FUND3</v>
          </cell>
          <cell r="Z30">
            <v>7789154.6699999999</v>
          </cell>
        </row>
        <row r="31">
          <cell r="B31" t="str">
            <v>PEN200262696277</v>
          </cell>
          <cell r="C31" t="str">
            <v>HABIBAT  ABDULLAHI</v>
          </cell>
          <cell r="D31" t="str">
            <v>F</v>
          </cell>
          <cell r="E31" t="str">
            <v>PU000032H001</v>
          </cell>
          <cell r="F31" t="str">
            <v xml:space="preserve">UNIVERSAL BASIC EDUCATION               </v>
          </cell>
          <cell r="G31" t="str">
            <v>Public</v>
          </cell>
          <cell r="H31" t="str">
            <v>6/18/2007 12:00:00 AM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5712.38</v>
          </cell>
          <cell r="P31">
            <v>20253.96</v>
          </cell>
          <cell r="Q31">
            <v>0</v>
          </cell>
          <cell r="R31">
            <v>25966.34</v>
          </cell>
          <cell r="S31">
            <v>2788641.75</v>
          </cell>
          <cell r="T31">
            <v>4478412.9800000004</v>
          </cell>
          <cell r="U31">
            <v>-107.5</v>
          </cell>
          <cell r="V31">
            <v>7266947.2300000004</v>
          </cell>
          <cell r="W31">
            <v>4498666.9400000004</v>
          </cell>
          <cell r="X31" t="str">
            <v>No Data Request</v>
          </cell>
          <cell r="Y31" t="str">
            <v>FUND2</v>
          </cell>
          <cell r="Z31">
            <v>7292913.5700000003</v>
          </cell>
        </row>
        <row r="32">
          <cell r="B32" t="str">
            <v>PEN200468063521</v>
          </cell>
          <cell r="C32" t="str">
            <v>JAMILA YAKUBU</v>
          </cell>
          <cell r="D32" t="str">
            <v>F</v>
          </cell>
          <cell r="E32" t="str">
            <v>PU000036B013</v>
          </cell>
          <cell r="F32" t="str">
            <v xml:space="preserve">AMINU KANO TEACHING HOSPITAL KANO       </v>
          </cell>
          <cell r="G32" t="str">
            <v>Public</v>
          </cell>
          <cell r="H32" t="str">
            <v>8/26/2009 12:00:00 AM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4458032.88</v>
          </cell>
          <cell r="T32">
            <v>7027281.5700000003</v>
          </cell>
          <cell r="U32">
            <v>0</v>
          </cell>
          <cell r="V32">
            <v>11485314.449999999</v>
          </cell>
          <cell r="W32">
            <v>7027281.5700000003</v>
          </cell>
          <cell r="X32" t="str">
            <v>No Data Request</v>
          </cell>
          <cell r="Y32" t="str">
            <v>FUND2</v>
          </cell>
          <cell r="Z32">
            <v>11485314.449999999</v>
          </cell>
        </row>
        <row r="33">
          <cell r="B33" t="str">
            <v>PEN200587027119</v>
          </cell>
          <cell r="C33" t="str">
            <v>ADEOLA MODUPEIBITOYE</v>
          </cell>
          <cell r="D33" t="str">
            <v>F</v>
          </cell>
          <cell r="E33" t="str">
            <v>PU000036B012</v>
          </cell>
          <cell r="F33" t="str">
            <v xml:space="preserve">UDTH, SOKOTO </v>
          </cell>
          <cell r="G33" t="str">
            <v>Public</v>
          </cell>
          <cell r="H33">
            <v>41124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4035432.43</v>
          </cell>
          <cell r="T33">
            <v>5921965.6299999999</v>
          </cell>
          <cell r="U33">
            <v>0</v>
          </cell>
          <cell r="V33">
            <v>9957398.0600000005</v>
          </cell>
          <cell r="W33">
            <v>5921965.6299999999</v>
          </cell>
          <cell r="X33" t="str">
            <v>No Data Request</v>
          </cell>
          <cell r="Y33" t="str">
            <v>FUND2</v>
          </cell>
          <cell r="Z33">
            <v>9957398.0600000005</v>
          </cell>
        </row>
        <row r="34">
          <cell r="B34" t="str">
            <v>PEN200683355618</v>
          </cell>
          <cell r="C34" t="str">
            <v>OLAMIDE RASHEEDATASHAOLU</v>
          </cell>
          <cell r="D34" t="str">
            <v>F</v>
          </cell>
          <cell r="E34" t="str">
            <v>PU000025A005</v>
          </cell>
          <cell r="F34" t="str">
            <v>MINISTRY OF AGRICULTURE &amp; WATER RESOURCES</v>
          </cell>
          <cell r="G34" t="str">
            <v>Public</v>
          </cell>
          <cell r="H34" t="str">
            <v>2/20/2014 12:00:00 AM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2132663.9700000002</v>
          </cell>
          <cell r="T34">
            <v>2858775.53</v>
          </cell>
          <cell r="U34">
            <v>0</v>
          </cell>
          <cell r="V34">
            <v>4991439.5</v>
          </cell>
          <cell r="W34">
            <v>2858775.53</v>
          </cell>
          <cell r="X34" t="str">
            <v>Recapture Successful</v>
          </cell>
          <cell r="Y34" t="str">
            <v>FUND2</v>
          </cell>
          <cell r="Z34">
            <v>4991439.5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229-E517-4A82-88D7-EFD6A32A77FB}">
  <dimension ref="A1:AA40"/>
  <sheetViews>
    <sheetView tabSelected="1" zoomScale="96" zoomScaleNormal="100" workbookViewId="0">
      <pane xSplit="4" ySplit="1" topLeftCell="Y2" activePane="bottomRight" state="frozen"/>
      <selection pane="topRight" activeCell="D1" sqref="D1"/>
      <selection pane="bottomLeft" activeCell="A2" sqref="A2"/>
      <selection pane="bottomRight" activeCell="AA2" sqref="AA2"/>
    </sheetView>
  </sheetViews>
  <sheetFormatPr defaultRowHeight="15" x14ac:dyDescent="0.25"/>
  <cols>
    <col min="1" max="1" width="17.42578125" style="49" customWidth="1"/>
    <col min="2" max="2" width="6.5703125" bestFit="1" customWidth="1"/>
    <col min="3" max="3" width="16.28515625" customWidth="1"/>
    <col min="4" max="4" width="36.42578125" style="50" customWidth="1"/>
    <col min="5" max="5" width="18.28515625" style="51" bestFit="1" customWidth="1"/>
    <col min="6" max="6" width="18.28515625" style="52" customWidth="1"/>
    <col min="7" max="7" width="17" style="53" customWidth="1"/>
    <col min="8" max="8" width="21.85546875" style="53" customWidth="1"/>
    <col min="9" max="16" width="17" style="53" customWidth="1"/>
    <col min="17" max="17" width="38.7109375" bestFit="1" customWidth="1"/>
    <col min="18" max="19" width="27.7109375" customWidth="1"/>
    <col min="20" max="20" width="17.5703125" customWidth="1"/>
    <col min="21" max="21" width="28" customWidth="1"/>
    <col min="22" max="22" width="15.28515625" customWidth="1"/>
    <col min="23" max="24" width="10.7109375" customWidth="1"/>
    <col min="26" max="26" width="45.5703125" customWidth="1"/>
    <col min="27" max="27" width="12.42578125" customWidth="1"/>
  </cols>
  <sheetData>
    <row r="1" spans="1:27" ht="15.75" x14ac:dyDescent="0.25">
      <c r="A1" s="35" t="s">
        <v>362</v>
      </c>
      <c r="B1" s="36" t="s">
        <v>0</v>
      </c>
      <c r="C1" s="36" t="s">
        <v>12</v>
      </c>
      <c r="D1" s="37" t="s">
        <v>363</v>
      </c>
      <c r="E1" s="36" t="s">
        <v>364</v>
      </c>
      <c r="F1" s="38" t="s">
        <v>17</v>
      </c>
      <c r="G1" s="36" t="s">
        <v>365</v>
      </c>
      <c r="H1" s="36" t="s">
        <v>366</v>
      </c>
      <c r="I1" s="36" t="s">
        <v>367</v>
      </c>
      <c r="J1" s="36" t="s">
        <v>368</v>
      </c>
      <c r="K1" s="36" t="s">
        <v>369</v>
      </c>
      <c r="L1" s="36" t="s">
        <v>370</v>
      </c>
      <c r="M1" s="36" t="s">
        <v>371</v>
      </c>
      <c r="N1" s="36" t="s">
        <v>372</v>
      </c>
      <c r="O1" s="36" t="s">
        <v>373</v>
      </c>
      <c r="P1" s="55" t="s">
        <v>498</v>
      </c>
      <c r="Q1" s="36" t="s">
        <v>8</v>
      </c>
      <c r="R1" s="36" t="s">
        <v>374</v>
      </c>
      <c r="S1" s="36" t="s">
        <v>499</v>
      </c>
      <c r="T1" s="36" t="s">
        <v>6</v>
      </c>
      <c r="U1" s="36" t="s">
        <v>375</v>
      </c>
      <c r="V1" s="36" t="s">
        <v>376</v>
      </c>
      <c r="W1" s="36" t="s">
        <v>377</v>
      </c>
      <c r="X1" s="36" t="s">
        <v>378</v>
      </c>
      <c r="Y1" s="36" t="s">
        <v>379</v>
      </c>
      <c r="Z1" s="39" t="s">
        <v>380</v>
      </c>
      <c r="AA1" s="56" t="s">
        <v>500</v>
      </c>
    </row>
    <row r="2" spans="1:27" x14ac:dyDescent="0.25">
      <c r="A2" s="9" t="s">
        <v>109</v>
      </c>
      <c r="C2" s="40">
        <v>1000501578</v>
      </c>
      <c r="D2" s="9" t="s">
        <v>105</v>
      </c>
      <c r="E2" s="5" t="s">
        <v>102</v>
      </c>
      <c r="F2" s="33">
        <v>4155533.8703999999</v>
      </c>
      <c r="G2" s="41">
        <f t="shared" ref="G2:G40" si="0">F2/4+200000</f>
        <v>1238883.4676000001</v>
      </c>
      <c r="H2" s="41" t="s">
        <v>381</v>
      </c>
      <c r="I2" s="41">
        <f t="shared" ref="I2:I40" si="1">F2/4</f>
        <v>1038883.4676</v>
      </c>
      <c r="J2" s="41" t="s">
        <v>420</v>
      </c>
      <c r="K2" s="41">
        <f t="shared" ref="K2:K40" si="2">G2-300000</f>
        <v>938883.46760000009</v>
      </c>
      <c r="L2" s="41" t="s">
        <v>459</v>
      </c>
      <c r="M2" s="42">
        <f t="shared" ref="M2:M40" si="3">G2</f>
        <v>1238883.4676000001</v>
      </c>
      <c r="N2" s="41">
        <f t="shared" ref="N2:N40" si="4">M2*0.21%</f>
        <v>2601.6552819600001</v>
      </c>
      <c r="O2" s="41">
        <f t="shared" ref="O2:O40" si="5">200000*1%</f>
        <v>2000</v>
      </c>
      <c r="P2" s="54">
        <f>I2*2%</f>
        <v>20777.669352000001</v>
      </c>
      <c r="Q2" s="5" t="s">
        <v>107</v>
      </c>
      <c r="R2" s="9" t="s">
        <v>108</v>
      </c>
      <c r="S2" s="9">
        <v>7544345667</v>
      </c>
      <c r="T2" s="9">
        <v>11122222111</v>
      </c>
      <c r="U2" s="5">
        <v>8036097918</v>
      </c>
      <c r="V2" s="8">
        <v>32057</v>
      </c>
      <c r="W2" s="43">
        <f>YEAR(V2)</f>
        <v>1987</v>
      </c>
      <c r="X2" s="43">
        <f>2026-W2</f>
        <v>39</v>
      </c>
      <c r="Z2" s="44" t="str">
        <f t="shared" ref="Z2:Z40" si="6">Q2</f>
        <v>JUNIO STAFF QUARTERS ABAJI</v>
      </c>
      <c r="AA2" t="e" vm="1">
        <v>#VALUE!</v>
      </c>
    </row>
    <row r="3" spans="1:27" x14ac:dyDescent="0.25">
      <c r="A3" s="9" t="s">
        <v>109</v>
      </c>
      <c r="C3" s="40">
        <v>1000501579</v>
      </c>
      <c r="D3" s="9" t="s">
        <v>113</v>
      </c>
      <c r="E3" s="5" t="s">
        <v>110</v>
      </c>
      <c r="F3" s="33">
        <v>3294795.3884999999</v>
      </c>
      <c r="G3" s="41">
        <f t="shared" si="0"/>
        <v>1023698.847125</v>
      </c>
      <c r="H3" s="41" t="s">
        <v>382</v>
      </c>
      <c r="I3" s="41">
        <f t="shared" si="1"/>
        <v>823698.84712499997</v>
      </c>
      <c r="J3" s="41" t="s">
        <v>421</v>
      </c>
      <c r="K3" s="41">
        <f t="shared" si="2"/>
        <v>723698.84712499997</v>
      </c>
      <c r="L3" s="41" t="s">
        <v>460</v>
      </c>
      <c r="M3" s="42">
        <f t="shared" si="3"/>
        <v>1023698.847125</v>
      </c>
      <c r="N3" s="41">
        <f t="shared" si="4"/>
        <v>2149.7675789625</v>
      </c>
      <c r="O3" s="41">
        <f t="shared" si="5"/>
        <v>2000</v>
      </c>
      <c r="P3" s="54">
        <f t="shared" ref="P3:P40" si="7">I3*2%</f>
        <v>16473.976942500001</v>
      </c>
      <c r="Q3" s="5" t="s">
        <v>115</v>
      </c>
      <c r="R3" s="9" t="s">
        <v>116</v>
      </c>
      <c r="S3" s="9">
        <v>2345678999</v>
      </c>
      <c r="T3" s="9">
        <v>234567899</v>
      </c>
      <c r="U3" s="5">
        <v>8060539893</v>
      </c>
      <c r="V3" s="8">
        <v>27404</v>
      </c>
      <c r="W3" s="43">
        <f t="shared" ref="W3:W40" si="8">YEAR(V3)</f>
        <v>1975</v>
      </c>
      <c r="X3" s="43">
        <f t="shared" ref="X3:X40" si="9">2026-W3</f>
        <v>51</v>
      </c>
      <c r="Z3" s="44" t="str">
        <f t="shared" si="6"/>
        <v>ALEYTA OPPOSITE ECWA CHURCH, LUGBE, ABUJA</v>
      </c>
      <c r="AA3" t="e" vm="1">
        <v>#VALUE!</v>
      </c>
    </row>
    <row r="4" spans="1:27" x14ac:dyDescent="0.25">
      <c r="A4" s="9" t="s">
        <v>92</v>
      </c>
      <c r="C4" s="40">
        <v>1000501576</v>
      </c>
      <c r="D4" s="9" t="s">
        <v>86</v>
      </c>
      <c r="E4" s="5" t="s">
        <v>83</v>
      </c>
      <c r="F4" s="33">
        <v>8154717.7734000003</v>
      </c>
      <c r="G4" s="41">
        <f t="shared" si="0"/>
        <v>2238679.4433500003</v>
      </c>
      <c r="H4" s="41" t="s">
        <v>383</v>
      </c>
      <c r="I4" s="41">
        <f t="shared" si="1"/>
        <v>2038679.4433500001</v>
      </c>
      <c r="J4" s="41" t="s">
        <v>422</v>
      </c>
      <c r="K4" s="41">
        <f t="shared" si="2"/>
        <v>1938679.4433500003</v>
      </c>
      <c r="L4" s="41" t="s">
        <v>461</v>
      </c>
      <c r="M4" s="42">
        <f t="shared" si="3"/>
        <v>2238679.4433500003</v>
      </c>
      <c r="N4" s="41">
        <f t="shared" si="4"/>
        <v>4701.226831035</v>
      </c>
      <c r="O4" s="41">
        <f t="shared" si="5"/>
        <v>2000</v>
      </c>
      <c r="P4" s="54">
        <f t="shared" si="7"/>
        <v>40773.588867000006</v>
      </c>
      <c r="Q4" s="5" t="s">
        <v>88</v>
      </c>
      <c r="R4" s="9" t="s">
        <v>91</v>
      </c>
      <c r="S4" s="9">
        <v>7544345667</v>
      </c>
      <c r="T4" s="9">
        <v>11122222111</v>
      </c>
      <c r="U4" s="45">
        <v>8034659886</v>
      </c>
      <c r="V4" s="14" t="s">
        <v>47</v>
      </c>
      <c r="W4" s="43">
        <f t="shared" si="8"/>
        <v>1982</v>
      </c>
      <c r="X4" s="43">
        <f t="shared" si="9"/>
        <v>44</v>
      </c>
      <c r="Z4" s="44" t="str">
        <f t="shared" si="6"/>
        <v>NO,5 OKENE STREET PESELI KUJE ABUJA</v>
      </c>
      <c r="AA4" t="e" vm="1">
        <v>#VALUE!</v>
      </c>
    </row>
    <row r="5" spans="1:27" x14ac:dyDescent="0.25">
      <c r="A5" s="5" t="s">
        <v>170</v>
      </c>
      <c r="C5" s="40">
        <v>1000501587</v>
      </c>
      <c r="D5" s="9" t="s">
        <v>164</v>
      </c>
      <c r="E5" s="5" t="s">
        <v>160</v>
      </c>
      <c r="F5" s="33">
        <v>6946750.0080000004</v>
      </c>
      <c r="G5" s="41">
        <f t="shared" si="0"/>
        <v>1936687.5020000001</v>
      </c>
      <c r="H5" s="41" t="s">
        <v>384</v>
      </c>
      <c r="I5" s="41">
        <f t="shared" si="1"/>
        <v>1736687.5020000001</v>
      </c>
      <c r="J5" s="41" t="s">
        <v>423</v>
      </c>
      <c r="K5" s="41">
        <f t="shared" si="2"/>
        <v>1636687.5020000001</v>
      </c>
      <c r="L5" s="41" t="s">
        <v>462</v>
      </c>
      <c r="M5" s="42">
        <f t="shared" si="3"/>
        <v>1936687.5020000001</v>
      </c>
      <c r="N5" s="41">
        <f t="shared" si="4"/>
        <v>4067.0437542</v>
      </c>
      <c r="O5" s="41">
        <f t="shared" si="5"/>
        <v>2000</v>
      </c>
      <c r="P5" s="54">
        <f t="shared" si="7"/>
        <v>34733.750039999999</v>
      </c>
      <c r="Q5" s="5" t="s">
        <v>165</v>
      </c>
      <c r="R5" s="9" t="s">
        <v>164</v>
      </c>
      <c r="S5" s="9"/>
      <c r="T5" s="9"/>
      <c r="U5" s="5">
        <v>8168093892</v>
      </c>
      <c r="V5" s="8">
        <v>29315</v>
      </c>
      <c r="W5" s="43">
        <f t="shared" si="8"/>
        <v>1980</v>
      </c>
      <c r="X5" s="43">
        <f t="shared" si="9"/>
        <v>46</v>
      </c>
      <c r="Z5" s="44" t="str">
        <f t="shared" si="6"/>
        <v>GSS RUBOCHI STAFF QTRS- ABUJA</v>
      </c>
      <c r="AA5" t="e" vm="1">
        <v>#VALUE!</v>
      </c>
    </row>
    <row r="6" spans="1:27" x14ac:dyDescent="0.25">
      <c r="A6" s="5" t="s">
        <v>176</v>
      </c>
      <c r="C6" s="40">
        <v>1000501588</v>
      </c>
      <c r="D6" s="9" t="s">
        <v>173</v>
      </c>
      <c r="E6" s="5" t="s">
        <v>171</v>
      </c>
      <c r="F6" s="33">
        <v>5879989.3382999999</v>
      </c>
      <c r="G6" s="41">
        <f t="shared" si="0"/>
        <v>1669997.334575</v>
      </c>
      <c r="H6" s="41" t="s">
        <v>385</v>
      </c>
      <c r="I6" s="41">
        <f t="shared" si="1"/>
        <v>1469997.334575</v>
      </c>
      <c r="J6" s="41" t="s">
        <v>424</v>
      </c>
      <c r="K6" s="41">
        <f t="shared" si="2"/>
        <v>1369997.334575</v>
      </c>
      <c r="L6" s="41" t="s">
        <v>463</v>
      </c>
      <c r="M6" s="42">
        <f t="shared" si="3"/>
        <v>1669997.334575</v>
      </c>
      <c r="N6" s="41">
        <f t="shared" si="4"/>
        <v>3506.9944026075</v>
      </c>
      <c r="O6" s="41">
        <f t="shared" si="5"/>
        <v>2000</v>
      </c>
      <c r="P6" s="54">
        <f t="shared" si="7"/>
        <v>29399.946691500001</v>
      </c>
      <c r="Q6" s="5" t="s">
        <v>174</v>
      </c>
      <c r="R6" s="9" t="s">
        <v>173</v>
      </c>
      <c r="S6" s="9"/>
      <c r="T6" s="9"/>
      <c r="U6" s="5">
        <v>9033793690</v>
      </c>
      <c r="V6" s="5" t="s">
        <v>65</v>
      </c>
      <c r="W6" s="43">
        <f t="shared" si="8"/>
        <v>1981</v>
      </c>
      <c r="X6" s="43">
        <f t="shared" si="9"/>
        <v>45</v>
      </c>
      <c r="Z6" s="44" t="str">
        <f t="shared" si="6"/>
        <v>GBEDAKO VIA LAPAI L.G NIGER STATE</v>
      </c>
      <c r="AA6" t="e" vm="1">
        <v>#VALUE!</v>
      </c>
    </row>
    <row r="7" spans="1:27" x14ac:dyDescent="0.25">
      <c r="A7" s="46" t="s">
        <v>249</v>
      </c>
      <c r="C7" s="40">
        <v>1000501600</v>
      </c>
      <c r="D7" s="46" t="s">
        <v>245</v>
      </c>
      <c r="E7" s="46" t="s">
        <v>243</v>
      </c>
      <c r="F7" s="33">
        <v>5027805.8226000005</v>
      </c>
      <c r="G7" s="41">
        <f t="shared" si="0"/>
        <v>1456951.4556500001</v>
      </c>
      <c r="H7" s="41" t="s">
        <v>386</v>
      </c>
      <c r="I7" s="41">
        <f t="shared" si="1"/>
        <v>1256951.4556500001</v>
      </c>
      <c r="J7" s="41" t="s">
        <v>425</v>
      </c>
      <c r="K7" s="41">
        <f t="shared" si="2"/>
        <v>1156951.4556500001</v>
      </c>
      <c r="L7" s="41" t="s">
        <v>464</v>
      </c>
      <c r="M7" s="42">
        <f t="shared" si="3"/>
        <v>1456951.4556500001</v>
      </c>
      <c r="N7" s="41">
        <f t="shared" si="4"/>
        <v>3059.5980568650002</v>
      </c>
      <c r="O7" s="41">
        <f t="shared" si="5"/>
        <v>2000</v>
      </c>
      <c r="P7" s="54">
        <f t="shared" si="7"/>
        <v>25139.029113000004</v>
      </c>
      <c r="Q7" s="46" t="s">
        <v>246</v>
      </c>
      <c r="R7" s="46" t="s">
        <v>248</v>
      </c>
      <c r="S7" s="46"/>
      <c r="T7" s="46"/>
      <c r="U7" s="46">
        <v>7030958129</v>
      </c>
      <c r="V7" s="5" t="s">
        <v>73</v>
      </c>
      <c r="W7" s="43">
        <f t="shared" si="8"/>
        <v>1980</v>
      </c>
      <c r="X7" s="43">
        <f t="shared" si="9"/>
        <v>46</v>
      </c>
      <c r="Z7" s="44" t="str">
        <f t="shared" si="6"/>
        <v>GOGO 2 BWARI ABUJA</v>
      </c>
      <c r="AA7" t="e" vm="1">
        <v>#VALUE!</v>
      </c>
    </row>
    <row r="8" spans="1:27" x14ac:dyDescent="0.25">
      <c r="A8" s="5" t="s">
        <v>255</v>
      </c>
      <c r="C8" s="40">
        <v>1000501601</v>
      </c>
      <c r="D8" s="9" t="s">
        <v>252</v>
      </c>
      <c r="E8" s="9" t="s">
        <v>250</v>
      </c>
      <c r="F8" s="33">
        <v>4614570.0414000005</v>
      </c>
      <c r="G8" s="41">
        <f t="shared" si="0"/>
        <v>1353642.5103500001</v>
      </c>
      <c r="H8" s="41" t="s">
        <v>387</v>
      </c>
      <c r="I8" s="41">
        <f t="shared" si="1"/>
        <v>1153642.5103500001</v>
      </c>
      <c r="J8" s="41" t="s">
        <v>426</v>
      </c>
      <c r="K8" s="41">
        <f t="shared" si="2"/>
        <v>1053642.5103500001</v>
      </c>
      <c r="L8" s="41" t="s">
        <v>465</v>
      </c>
      <c r="M8" s="42">
        <f t="shared" si="3"/>
        <v>1353642.5103500001</v>
      </c>
      <c r="N8" s="41">
        <f t="shared" si="4"/>
        <v>2842.6492717350002</v>
      </c>
      <c r="O8" s="41">
        <f t="shared" si="5"/>
        <v>2000</v>
      </c>
      <c r="P8" s="54">
        <f t="shared" si="7"/>
        <v>23072.850207000003</v>
      </c>
      <c r="Q8" s="9" t="s">
        <v>253</v>
      </c>
      <c r="R8" s="9" t="s">
        <v>254</v>
      </c>
      <c r="S8" s="9"/>
      <c r="T8" s="9"/>
      <c r="U8" s="9">
        <v>8026263829</v>
      </c>
      <c r="V8" s="14">
        <v>27243</v>
      </c>
      <c r="W8" s="43">
        <f t="shared" si="8"/>
        <v>1974</v>
      </c>
      <c r="X8" s="43">
        <f t="shared" si="9"/>
        <v>52</v>
      </c>
      <c r="Z8" s="44" t="str">
        <f t="shared" si="6"/>
        <v>OLD KUTUNKU GWAGWALADA</v>
      </c>
      <c r="AA8" t="e" vm="1">
        <v>#VALUE!</v>
      </c>
    </row>
    <row r="9" spans="1:27" x14ac:dyDescent="0.25">
      <c r="A9" s="5" t="s">
        <v>255</v>
      </c>
      <c r="C9" s="40">
        <v>1000501603</v>
      </c>
      <c r="D9" s="9" t="s">
        <v>259</v>
      </c>
      <c r="E9" s="25" t="s">
        <v>256</v>
      </c>
      <c r="F9" s="33">
        <v>6632458.9452000009</v>
      </c>
      <c r="G9" s="41">
        <f t="shared" si="0"/>
        <v>1858114.7363000002</v>
      </c>
      <c r="H9" s="41" t="s">
        <v>388</v>
      </c>
      <c r="I9" s="41">
        <f t="shared" si="1"/>
        <v>1658114.7363000002</v>
      </c>
      <c r="J9" s="41" t="s">
        <v>427</v>
      </c>
      <c r="K9" s="41">
        <f t="shared" si="2"/>
        <v>1558114.7363000002</v>
      </c>
      <c r="L9" s="41" t="s">
        <v>466</v>
      </c>
      <c r="M9" s="42">
        <f t="shared" si="3"/>
        <v>1858114.7363000002</v>
      </c>
      <c r="N9" s="41">
        <f t="shared" si="4"/>
        <v>3902.0409462300004</v>
      </c>
      <c r="O9" s="41">
        <f t="shared" si="5"/>
        <v>2000</v>
      </c>
      <c r="P9" s="54">
        <f t="shared" si="7"/>
        <v>33162.294726000007</v>
      </c>
      <c r="Q9" s="9" t="s">
        <v>261</v>
      </c>
      <c r="R9" s="9" t="s">
        <v>263</v>
      </c>
      <c r="S9" s="9"/>
      <c r="T9" s="9"/>
      <c r="U9" s="9">
        <v>8062249017</v>
      </c>
      <c r="V9" s="14">
        <v>30763</v>
      </c>
      <c r="W9" s="43">
        <f t="shared" si="8"/>
        <v>1984</v>
      </c>
      <c r="X9" s="43">
        <f t="shared" si="9"/>
        <v>42</v>
      </c>
      <c r="Z9" s="44" t="str">
        <f t="shared" si="6"/>
        <v>FARAWA BABBAN LAYI</v>
      </c>
      <c r="AA9" t="e" vm="1">
        <v>#VALUE!</v>
      </c>
    </row>
    <row r="10" spans="1:27" x14ac:dyDescent="0.25">
      <c r="A10" s="5" t="s">
        <v>255</v>
      </c>
      <c r="C10" s="40">
        <v>1000501604</v>
      </c>
      <c r="D10" s="9" t="s">
        <v>267</v>
      </c>
      <c r="E10" s="9" t="s">
        <v>264</v>
      </c>
      <c r="F10" s="33">
        <v>6400518.3593999995</v>
      </c>
      <c r="G10" s="41">
        <f t="shared" si="0"/>
        <v>1800129.5898499999</v>
      </c>
      <c r="H10" s="41" t="s">
        <v>389</v>
      </c>
      <c r="I10" s="41">
        <f t="shared" si="1"/>
        <v>1600129.5898499999</v>
      </c>
      <c r="J10" s="41" t="s">
        <v>428</v>
      </c>
      <c r="K10" s="41">
        <f t="shared" si="2"/>
        <v>1500129.5898499999</v>
      </c>
      <c r="L10" s="41" t="s">
        <v>467</v>
      </c>
      <c r="M10" s="42">
        <f t="shared" si="3"/>
        <v>1800129.5898499999</v>
      </c>
      <c r="N10" s="41">
        <f t="shared" si="4"/>
        <v>3780.2721386849994</v>
      </c>
      <c r="O10" s="41">
        <f t="shared" si="5"/>
        <v>2000</v>
      </c>
      <c r="P10" s="54">
        <f t="shared" si="7"/>
        <v>32002.591796999997</v>
      </c>
      <c r="Q10" s="9" t="s">
        <v>269</v>
      </c>
      <c r="R10" s="9" t="s">
        <v>270</v>
      </c>
      <c r="S10" s="9"/>
      <c r="T10" s="9"/>
      <c r="U10" s="9">
        <v>8060444491</v>
      </c>
      <c r="V10" s="19">
        <v>30388</v>
      </c>
      <c r="W10" s="43">
        <f t="shared" si="8"/>
        <v>1983</v>
      </c>
      <c r="X10" s="43">
        <f t="shared" si="9"/>
        <v>43</v>
      </c>
      <c r="Z10" s="44" t="str">
        <f t="shared" si="6"/>
        <v>NO 58 DAMBO ROAD GADANKAYA KANO</v>
      </c>
      <c r="AA10" t="e" vm="1">
        <v>#VALUE!</v>
      </c>
    </row>
    <row r="11" spans="1:27" x14ac:dyDescent="0.25">
      <c r="A11" s="5" t="s">
        <v>255</v>
      </c>
      <c r="C11" s="40">
        <v>1000501605</v>
      </c>
      <c r="D11" s="9" t="s">
        <v>274</v>
      </c>
      <c r="E11" s="9" t="s">
        <v>271</v>
      </c>
      <c r="F11" s="33">
        <v>4579681.0158000002</v>
      </c>
      <c r="G11" s="41">
        <f t="shared" si="0"/>
        <v>1344920.25395</v>
      </c>
      <c r="H11" s="41" t="s">
        <v>390</v>
      </c>
      <c r="I11" s="41">
        <f t="shared" si="1"/>
        <v>1144920.25395</v>
      </c>
      <c r="J11" s="41" t="s">
        <v>429</v>
      </c>
      <c r="K11" s="41">
        <f t="shared" si="2"/>
        <v>1044920.25395</v>
      </c>
      <c r="L11" s="41" t="s">
        <v>468</v>
      </c>
      <c r="M11" s="42">
        <f t="shared" si="3"/>
        <v>1344920.25395</v>
      </c>
      <c r="N11" s="41">
        <f t="shared" si="4"/>
        <v>2824.3325332949998</v>
      </c>
      <c r="O11" s="41">
        <f t="shared" si="5"/>
        <v>2000</v>
      </c>
      <c r="P11" s="54">
        <f t="shared" si="7"/>
        <v>22898.405079</v>
      </c>
      <c r="Q11" s="9" t="s">
        <v>276</v>
      </c>
      <c r="R11" s="9" t="s">
        <v>277</v>
      </c>
      <c r="S11" s="9"/>
      <c r="T11" s="9"/>
      <c r="U11" s="9">
        <v>8036201479</v>
      </c>
      <c r="V11" s="19">
        <v>32766</v>
      </c>
      <c r="W11" s="43">
        <f t="shared" si="8"/>
        <v>1989</v>
      </c>
      <c r="X11" s="43">
        <f t="shared" si="9"/>
        <v>37</v>
      </c>
      <c r="Z11" s="44" t="str">
        <f t="shared" si="6"/>
        <v>CHIROMARI DAURA</v>
      </c>
      <c r="AA11" t="e" vm="1">
        <v>#VALUE!</v>
      </c>
    </row>
    <row r="12" spans="1:27" x14ac:dyDescent="0.25">
      <c r="A12" s="5" t="s">
        <v>255</v>
      </c>
      <c r="C12" s="40">
        <v>1000501606</v>
      </c>
      <c r="D12" s="9" t="s">
        <v>280</v>
      </c>
      <c r="E12" s="9" t="s">
        <v>278</v>
      </c>
      <c r="F12" s="33">
        <v>5813850.4874999998</v>
      </c>
      <c r="G12" s="41">
        <f t="shared" si="0"/>
        <v>1653462.621875</v>
      </c>
      <c r="H12" s="41" t="s">
        <v>391</v>
      </c>
      <c r="I12" s="41">
        <f t="shared" si="1"/>
        <v>1453462.621875</v>
      </c>
      <c r="J12" s="41" t="s">
        <v>430</v>
      </c>
      <c r="K12" s="41">
        <f t="shared" si="2"/>
        <v>1353462.621875</v>
      </c>
      <c r="L12" s="41" t="s">
        <v>469</v>
      </c>
      <c r="M12" s="42">
        <f t="shared" si="3"/>
        <v>1653462.621875</v>
      </c>
      <c r="N12" s="41">
        <f t="shared" si="4"/>
        <v>3472.2715059374996</v>
      </c>
      <c r="O12" s="41">
        <f t="shared" si="5"/>
        <v>2000</v>
      </c>
      <c r="P12" s="54">
        <f t="shared" si="7"/>
        <v>29069.252437499999</v>
      </c>
      <c r="Q12" s="9" t="s">
        <v>282</v>
      </c>
      <c r="R12" s="9" t="s">
        <v>283</v>
      </c>
      <c r="S12" s="9"/>
      <c r="T12" s="9"/>
      <c r="U12" s="9">
        <v>8063363458</v>
      </c>
      <c r="V12" s="14">
        <v>31526</v>
      </c>
      <c r="W12" s="43">
        <f t="shared" si="8"/>
        <v>1986</v>
      </c>
      <c r="X12" s="43">
        <f t="shared" si="9"/>
        <v>40</v>
      </c>
      <c r="Z12" s="44" t="str">
        <f t="shared" si="6"/>
        <v>HAUSAWA WARD GAIDAM</v>
      </c>
    </row>
    <row r="13" spans="1:27" x14ac:dyDescent="0.25">
      <c r="A13" s="5" t="s">
        <v>255</v>
      </c>
      <c r="C13" s="40">
        <v>1000501607</v>
      </c>
      <c r="D13" s="9" t="s">
        <v>288</v>
      </c>
      <c r="E13" s="9" t="s">
        <v>284</v>
      </c>
      <c r="F13" s="33">
        <v>7711263.1233000001</v>
      </c>
      <c r="G13" s="41">
        <f t="shared" si="0"/>
        <v>2127815.7808250003</v>
      </c>
      <c r="H13" s="41" t="s">
        <v>392</v>
      </c>
      <c r="I13" s="41">
        <f t="shared" si="1"/>
        <v>1927815.780825</v>
      </c>
      <c r="J13" s="41" t="s">
        <v>431</v>
      </c>
      <c r="K13" s="41">
        <f t="shared" si="2"/>
        <v>1827815.7808250003</v>
      </c>
      <c r="L13" s="41" t="s">
        <v>470</v>
      </c>
      <c r="M13" s="42">
        <f t="shared" si="3"/>
        <v>2127815.7808250003</v>
      </c>
      <c r="N13" s="41">
        <f t="shared" si="4"/>
        <v>4468.4131397325</v>
      </c>
      <c r="O13" s="41">
        <f t="shared" si="5"/>
        <v>2000</v>
      </c>
      <c r="P13" s="54">
        <f t="shared" si="7"/>
        <v>38556.315616500004</v>
      </c>
      <c r="Q13" s="9" t="s">
        <v>290</v>
      </c>
      <c r="R13" s="9" t="s">
        <v>291</v>
      </c>
      <c r="S13" s="9"/>
      <c r="T13" s="9"/>
      <c r="U13" s="9">
        <v>8091915274</v>
      </c>
      <c r="V13" s="14">
        <v>32631</v>
      </c>
      <c r="W13" s="43">
        <f t="shared" si="8"/>
        <v>1989</v>
      </c>
      <c r="X13" s="43">
        <f t="shared" si="9"/>
        <v>37</v>
      </c>
      <c r="Z13" s="44" t="str">
        <f t="shared" si="6"/>
        <v>AMINU KANO TEACHINH HOSPITAL</v>
      </c>
    </row>
    <row r="14" spans="1:27" x14ac:dyDescent="0.25">
      <c r="A14" s="5" t="s">
        <v>255</v>
      </c>
      <c r="C14" s="40">
        <v>1000501608</v>
      </c>
      <c r="D14" s="9" t="s">
        <v>295</v>
      </c>
      <c r="E14" s="9" t="s">
        <v>292</v>
      </c>
      <c r="F14" s="33">
        <v>11370461.305499999</v>
      </c>
      <c r="G14" s="41">
        <f t="shared" si="0"/>
        <v>3042615.3263749997</v>
      </c>
      <c r="H14" s="41" t="s">
        <v>393</v>
      </c>
      <c r="I14" s="41">
        <f t="shared" si="1"/>
        <v>2842615.3263749997</v>
      </c>
      <c r="J14" s="41" t="s">
        <v>432</v>
      </c>
      <c r="K14" s="41">
        <f t="shared" si="2"/>
        <v>2742615.3263749997</v>
      </c>
      <c r="L14" s="41" t="s">
        <v>471</v>
      </c>
      <c r="M14" s="42">
        <f t="shared" si="3"/>
        <v>3042615.3263749997</v>
      </c>
      <c r="N14" s="41">
        <f t="shared" si="4"/>
        <v>6389.4921853874994</v>
      </c>
      <c r="O14" s="41">
        <f t="shared" si="5"/>
        <v>2000</v>
      </c>
      <c r="P14" s="54">
        <f t="shared" si="7"/>
        <v>56852.306527499997</v>
      </c>
      <c r="Q14" s="9" t="s">
        <v>290</v>
      </c>
      <c r="R14" s="9" t="s">
        <v>297</v>
      </c>
      <c r="S14" s="9"/>
      <c r="T14" s="9"/>
      <c r="U14" s="9">
        <v>8033725821</v>
      </c>
      <c r="V14" s="14">
        <v>32449</v>
      </c>
      <c r="W14" s="43">
        <f t="shared" si="8"/>
        <v>1988</v>
      </c>
      <c r="X14" s="43">
        <f t="shared" si="9"/>
        <v>38</v>
      </c>
      <c r="Z14" s="44" t="str">
        <f t="shared" si="6"/>
        <v>AMINU KANO TEACHINH HOSPITAL</v>
      </c>
    </row>
    <row r="15" spans="1:27" x14ac:dyDescent="0.25">
      <c r="A15" s="5" t="s">
        <v>255</v>
      </c>
      <c r="C15" s="40">
        <v>1000501609</v>
      </c>
      <c r="D15" s="9" t="s">
        <v>302</v>
      </c>
      <c r="E15" s="9" t="s">
        <v>298</v>
      </c>
      <c r="F15" s="33">
        <v>6938568.3114</v>
      </c>
      <c r="G15" s="41">
        <f t="shared" si="0"/>
        <v>1934642.07785</v>
      </c>
      <c r="H15" s="41" t="s">
        <v>394</v>
      </c>
      <c r="I15" s="41">
        <f t="shared" si="1"/>
        <v>1734642.07785</v>
      </c>
      <c r="J15" s="41" t="s">
        <v>433</v>
      </c>
      <c r="K15" s="41">
        <f t="shared" si="2"/>
        <v>1634642.07785</v>
      </c>
      <c r="L15" s="41" t="s">
        <v>472</v>
      </c>
      <c r="M15" s="42">
        <f t="shared" si="3"/>
        <v>1934642.07785</v>
      </c>
      <c r="N15" s="41">
        <f t="shared" si="4"/>
        <v>4062.7483634849996</v>
      </c>
      <c r="O15" s="41">
        <f t="shared" si="5"/>
        <v>2000</v>
      </c>
      <c r="P15" s="54">
        <f t="shared" si="7"/>
        <v>34692.841557</v>
      </c>
      <c r="Q15" s="9" t="s">
        <v>304</v>
      </c>
      <c r="R15" s="9" t="s">
        <v>305</v>
      </c>
      <c r="S15" s="9"/>
      <c r="T15" s="9"/>
      <c r="U15" s="9">
        <v>8032154626</v>
      </c>
      <c r="V15" s="14">
        <v>28525</v>
      </c>
      <c r="W15" s="43">
        <f t="shared" si="8"/>
        <v>1978</v>
      </c>
      <c r="X15" s="43">
        <f t="shared" si="9"/>
        <v>48</v>
      </c>
      <c r="Z15" s="44" t="str">
        <f t="shared" si="6"/>
        <v>DANGWAURO ZARIA ROAD KANO</v>
      </c>
    </row>
    <row r="16" spans="1:27" x14ac:dyDescent="0.25">
      <c r="A16" s="5" t="s">
        <v>255</v>
      </c>
      <c r="C16" s="40">
        <v>1000501610</v>
      </c>
      <c r="D16" s="9" t="s">
        <v>309</v>
      </c>
      <c r="E16" s="9" t="s">
        <v>306</v>
      </c>
      <c r="F16" s="33">
        <v>6069165.7554000001</v>
      </c>
      <c r="G16" s="41">
        <f t="shared" si="0"/>
        <v>1717291.43885</v>
      </c>
      <c r="H16" s="41" t="s">
        <v>395</v>
      </c>
      <c r="I16" s="41">
        <f t="shared" si="1"/>
        <v>1517291.43885</v>
      </c>
      <c r="J16" s="41" t="s">
        <v>434</v>
      </c>
      <c r="K16" s="41">
        <f t="shared" si="2"/>
        <v>1417291.43885</v>
      </c>
      <c r="L16" s="41" t="s">
        <v>473</v>
      </c>
      <c r="M16" s="42">
        <f t="shared" si="3"/>
        <v>1717291.43885</v>
      </c>
      <c r="N16" s="41">
        <f t="shared" si="4"/>
        <v>3606.3120215849999</v>
      </c>
      <c r="O16" s="41">
        <f t="shared" si="5"/>
        <v>2000</v>
      </c>
      <c r="P16" s="54">
        <f t="shared" si="7"/>
        <v>30345.828777000002</v>
      </c>
      <c r="Q16" s="9" t="s">
        <v>311</v>
      </c>
      <c r="R16" s="9" t="s">
        <v>312</v>
      </c>
      <c r="S16" s="9"/>
      <c r="T16" s="9"/>
      <c r="U16" s="9">
        <v>7030923376</v>
      </c>
      <c r="V16" s="14">
        <v>32108</v>
      </c>
      <c r="W16" s="43">
        <f t="shared" si="8"/>
        <v>1987</v>
      </c>
      <c r="X16" s="43">
        <f t="shared" si="9"/>
        <v>39</v>
      </c>
      <c r="Z16" s="44" t="str">
        <f t="shared" si="6"/>
        <v>NO 655 GIDAN GABAS GWALE</v>
      </c>
    </row>
    <row r="17" spans="1:26" x14ac:dyDescent="0.25">
      <c r="A17" s="5" t="s">
        <v>255</v>
      </c>
      <c r="C17" s="40">
        <v>1000501611</v>
      </c>
      <c r="D17" s="9" t="s">
        <v>316</v>
      </c>
      <c r="E17" s="9" t="s">
        <v>313</v>
      </c>
      <c r="F17" s="33">
        <v>2711404.6343999999</v>
      </c>
      <c r="G17" s="41">
        <f t="shared" si="0"/>
        <v>877851.15859999997</v>
      </c>
      <c r="H17" s="41" t="s">
        <v>396</v>
      </c>
      <c r="I17" s="41">
        <f t="shared" si="1"/>
        <v>677851.15859999997</v>
      </c>
      <c r="J17" s="41" t="s">
        <v>435</v>
      </c>
      <c r="K17" s="41">
        <f t="shared" si="2"/>
        <v>577851.15859999997</v>
      </c>
      <c r="L17" s="41" t="s">
        <v>474</v>
      </c>
      <c r="M17" s="42">
        <f t="shared" si="3"/>
        <v>877851.15859999997</v>
      </c>
      <c r="N17" s="41">
        <f t="shared" si="4"/>
        <v>1843.4874330599998</v>
      </c>
      <c r="O17" s="41">
        <f t="shared" si="5"/>
        <v>2000</v>
      </c>
      <c r="P17" s="54">
        <f t="shared" si="7"/>
        <v>13557.023171999999</v>
      </c>
      <c r="Q17" s="9" t="s">
        <v>318</v>
      </c>
      <c r="R17" s="9" t="s">
        <v>320</v>
      </c>
      <c r="S17" s="9"/>
      <c r="T17" s="9"/>
      <c r="U17" s="9">
        <v>9069527686</v>
      </c>
      <c r="V17" s="8" t="s">
        <v>157</v>
      </c>
      <c r="W17" s="43">
        <f t="shared" si="8"/>
        <v>1982</v>
      </c>
      <c r="X17" s="43">
        <f t="shared" si="9"/>
        <v>44</v>
      </c>
      <c r="Z17" s="44" t="str">
        <f t="shared" si="6"/>
        <v>SHARADA PHASE 2</v>
      </c>
    </row>
    <row r="18" spans="1:26" x14ac:dyDescent="0.25">
      <c r="A18" s="9" t="s">
        <v>101</v>
      </c>
      <c r="C18" s="40">
        <v>1000501577</v>
      </c>
      <c r="D18" s="9" t="s">
        <v>97</v>
      </c>
      <c r="E18" s="9" t="s">
        <v>93</v>
      </c>
      <c r="F18" s="33">
        <v>5317627.3028999995</v>
      </c>
      <c r="G18" s="41">
        <f t="shared" si="0"/>
        <v>1529406.8257249999</v>
      </c>
      <c r="H18" s="41" t="s">
        <v>397</v>
      </c>
      <c r="I18" s="41">
        <f t="shared" si="1"/>
        <v>1329406.8257249999</v>
      </c>
      <c r="J18" s="41" t="s">
        <v>436</v>
      </c>
      <c r="K18" s="41">
        <f t="shared" si="2"/>
        <v>1229406.8257249999</v>
      </c>
      <c r="L18" s="41" t="s">
        <v>475</v>
      </c>
      <c r="M18" s="42">
        <f t="shared" si="3"/>
        <v>1529406.8257249999</v>
      </c>
      <c r="N18" s="41">
        <f t="shared" si="4"/>
        <v>3211.7543340224997</v>
      </c>
      <c r="O18" s="41">
        <f t="shared" si="5"/>
        <v>2000</v>
      </c>
      <c r="P18" s="54">
        <f t="shared" si="7"/>
        <v>26588.136514499998</v>
      </c>
      <c r="Q18" s="9" t="s">
        <v>99</v>
      </c>
      <c r="R18" s="9" t="s">
        <v>100</v>
      </c>
      <c r="S18" s="9"/>
      <c r="T18" s="9"/>
      <c r="U18" s="9">
        <v>8035702165</v>
      </c>
      <c r="V18" s="14" t="s">
        <v>166</v>
      </c>
      <c r="W18" s="43">
        <f t="shared" si="8"/>
        <v>1980</v>
      </c>
      <c r="X18" s="43">
        <f t="shared" si="9"/>
        <v>46</v>
      </c>
      <c r="Z18" s="44" t="str">
        <f t="shared" si="6"/>
        <v>HOUSE 6, ABDULLAHI BOKANI CLOSE, GBAZANGO ARAB ROAD.KUBWA</v>
      </c>
    </row>
    <row r="19" spans="1:26" x14ac:dyDescent="0.25">
      <c r="A19" s="9" t="s">
        <v>101</v>
      </c>
      <c r="C19" s="40">
        <v>1000501580</v>
      </c>
      <c r="D19" s="9" t="s">
        <v>121</v>
      </c>
      <c r="E19" s="5" t="s">
        <v>117</v>
      </c>
      <c r="F19" s="33">
        <v>8167616</v>
      </c>
      <c r="G19" s="41">
        <f t="shared" si="0"/>
        <v>2241904</v>
      </c>
      <c r="H19" s="41" t="s">
        <v>398</v>
      </c>
      <c r="I19" s="41">
        <f t="shared" si="1"/>
        <v>2041904</v>
      </c>
      <c r="J19" s="41" t="s">
        <v>437</v>
      </c>
      <c r="K19" s="41">
        <f t="shared" si="2"/>
        <v>1941904</v>
      </c>
      <c r="L19" s="41" t="s">
        <v>476</v>
      </c>
      <c r="M19" s="42">
        <f t="shared" si="3"/>
        <v>2241904</v>
      </c>
      <c r="N19" s="41">
        <f t="shared" si="4"/>
        <v>4707.9983999999995</v>
      </c>
      <c r="O19" s="41">
        <f t="shared" si="5"/>
        <v>2000</v>
      </c>
      <c r="P19" s="54">
        <f t="shared" si="7"/>
        <v>40838.080000000002</v>
      </c>
      <c r="Q19" s="5" t="s">
        <v>123</v>
      </c>
      <c r="R19" s="9" t="s">
        <v>124</v>
      </c>
      <c r="S19" s="9"/>
      <c r="T19" s="9"/>
      <c r="U19" s="5">
        <v>7031619402</v>
      </c>
      <c r="V19" s="14" t="s">
        <v>175</v>
      </c>
      <c r="W19" s="43">
        <f t="shared" si="8"/>
        <v>1974</v>
      </c>
      <c r="X19" s="43">
        <f t="shared" si="9"/>
        <v>52</v>
      </c>
      <c r="Z19" s="44" t="str">
        <f t="shared" si="6"/>
        <v>MAN USMOBIK CLOSE, KARU SITE, ABUJA</v>
      </c>
    </row>
    <row r="20" spans="1:26" x14ac:dyDescent="0.25">
      <c r="A20" s="9" t="s">
        <v>101</v>
      </c>
      <c r="C20" s="40">
        <v>1000501581</v>
      </c>
      <c r="D20" s="9" t="s">
        <v>129</v>
      </c>
      <c r="E20" s="5" t="s">
        <v>125</v>
      </c>
      <c r="F20" s="33">
        <v>15074279.243100001</v>
      </c>
      <c r="G20" s="41">
        <f t="shared" si="0"/>
        <v>3968569.8107750001</v>
      </c>
      <c r="H20" s="41" t="s">
        <v>399</v>
      </c>
      <c r="I20" s="41">
        <f t="shared" si="1"/>
        <v>3768569.8107750001</v>
      </c>
      <c r="J20" s="41" t="s">
        <v>438</v>
      </c>
      <c r="K20" s="41">
        <f t="shared" si="2"/>
        <v>3668569.8107750001</v>
      </c>
      <c r="L20" s="41" t="s">
        <v>477</v>
      </c>
      <c r="M20" s="42">
        <f t="shared" si="3"/>
        <v>3968569.8107750001</v>
      </c>
      <c r="N20" s="41">
        <f t="shared" si="4"/>
        <v>8333.9966026274997</v>
      </c>
      <c r="O20" s="41">
        <f t="shared" si="5"/>
        <v>2000</v>
      </c>
      <c r="P20" s="54">
        <f t="shared" si="7"/>
        <v>75371.396215500004</v>
      </c>
      <c r="Q20" s="5" t="s">
        <v>123</v>
      </c>
      <c r="R20" s="5" t="s">
        <v>133</v>
      </c>
      <c r="S20" s="5"/>
      <c r="T20" s="5"/>
      <c r="U20" s="5">
        <v>9036709060</v>
      </c>
      <c r="V20" s="19">
        <v>26642</v>
      </c>
      <c r="W20" s="43">
        <f t="shared" si="8"/>
        <v>1972</v>
      </c>
      <c r="X20" s="43">
        <f t="shared" si="9"/>
        <v>54</v>
      </c>
      <c r="Z20" s="44" t="str">
        <f t="shared" si="6"/>
        <v>MAN USMOBIK CLOSE, KARU SITE, ABUJA</v>
      </c>
    </row>
    <row r="21" spans="1:26" x14ac:dyDescent="0.25">
      <c r="A21" s="9" t="s">
        <v>101</v>
      </c>
      <c r="C21" s="40">
        <v>1000501582</v>
      </c>
      <c r="D21" s="20" t="s">
        <v>138</v>
      </c>
      <c r="E21" s="5" t="s">
        <v>134</v>
      </c>
      <c r="F21" s="33">
        <v>13264045.7301</v>
      </c>
      <c r="G21" s="41">
        <f t="shared" si="0"/>
        <v>3516011.4325250001</v>
      </c>
      <c r="H21" s="41" t="s">
        <v>400</v>
      </c>
      <c r="I21" s="41">
        <f t="shared" si="1"/>
        <v>3316011.4325250001</v>
      </c>
      <c r="J21" s="41" t="s">
        <v>439</v>
      </c>
      <c r="K21" s="41">
        <f t="shared" si="2"/>
        <v>3216011.4325250001</v>
      </c>
      <c r="L21" s="41" t="s">
        <v>478</v>
      </c>
      <c r="M21" s="42">
        <f t="shared" si="3"/>
        <v>3516011.4325250001</v>
      </c>
      <c r="N21" s="41">
        <f t="shared" si="4"/>
        <v>7383.6240083024995</v>
      </c>
      <c r="O21" s="41">
        <f t="shared" si="5"/>
        <v>2000</v>
      </c>
      <c r="P21" s="54">
        <f t="shared" si="7"/>
        <v>66320.228650500008</v>
      </c>
      <c r="Q21" s="5" t="s">
        <v>140</v>
      </c>
      <c r="R21" s="20" t="s">
        <v>138</v>
      </c>
      <c r="S21" s="20"/>
      <c r="T21" s="20"/>
      <c r="U21" s="5">
        <v>8034865391</v>
      </c>
      <c r="V21" s="14">
        <v>27436</v>
      </c>
      <c r="W21" s="43">
        <f t="shared" si="8"/>
        <v>1975</v>
      </c>
      <c r="X21" s="43">
        <f t="shared" si="9"/>
        <v>51</v>
      </c>
      <c r="Z21" s="44" t="str">
        <f t="shared" si="6"/>
        <v>d24 mosafejo Badagry Lagos state</v>
      </c>
    </row>
    <row r="22" spans="1:26" x14ac:dyDescent="0.25">
      <c r="A22" s="9" t="s">
        <v>101</v>
      </c>
      <c r="C22" s="40">
        <v>1000501583</v>
      </c>
      <c r="D22" s="20" t="s">
        <v>147</v>
      </c>
      <c r="E22" s="5" t="s">
        <v>143</v>
      </c>
      <c r="F22" s="33">
        <v>4015024.5762</v>
      </c>
      <c r="G22" s="41">
        <f t="shared" si="0"/>
        <v>1203756.14405</v>
      </c>
      <c r="H22" s="41" t="s">
        <v>401</v>
      </c>
      <c r="I22" s="41">
        <f t="shared" si="1"/>
        <v>1003756.14405</v>
      </c>
      <c r="J22" s="41" t="s">
        <v>440</v>
      </c>
      <c r="K22" s="41">
        <f t="shared" si="2"/>
        <v>903756.14405</v>
      </c>
      <c r="L22" s="41" t="s">
        <v>479</v>
      </c>
      <c r="M22" s="42">
        <f t="shared" si="3"/>
        <v>1203756.14405</v>
      </c>
      <c r="N22" s="41">
        <f t="shared" si="4"/>
        <v>2527.8879025050001</v>
      </c>
      <c r="O22" s="41">
        <f t="shared" si="5"/>
        <v>2000</v>
      </c>
      <c r="P22" s="54">
        <f t="shared" si="7"/>
        <v>20075.122880999999</v>
      </c>
      <c r="Q22" s="5" t="s">
        <v>149</v>
      </c>
      <c r="R22" s="20" t="s">
        <v>147</v>
      </c>
      <c r="S22" s="20"/>
      <c r="T22" s="20"/>
      <c r="U22" s="5">
        <v>8069207404</v>
      </c>
      <c r="V22" s="14">
        <v>31634</v>
      </c>
      <c r="W22" s="43">
        <f t="shared" si="8"/>
        <v>1986</v>
      </c>
      <c r="X22" s="43">
        <f t="shared" si="9"/>
        <v>40</v>
      </c>
      <c r="Z22" s="44" t="str">
        <f t="shared" si="6"/>
        <v xml:space="preserve"> 59 Ezeagu street ojo road Ajegunle</v>
      </c>
    </row>
    <row r="23" spans="1:26" x14ac:dyDescent="0.25">
      <c r="A23" s="9" t="s">
        <v>35</v>
      </c>
      <c r="C23" s="40">
        <v>1000501569</v>
      </c>
      <c r="D23" s="5" t="s">
        <v>26</v>
      </c>
      <c r="E23" s="5" t="s">
        <v>23</v>
      </c>
      <c r="F23" s="33">
        <v>3377223.6003</v>
      </c>
      <c r="G23" s="41">
        <f t="shared" si="0"/>
        <v>1044305.900075</v>
      </c>
      <c r="H23" s="41" t="s">
        <v>402</v>
      </c>
      <c r="I23" s="41">
        <f t="shared" si="1"/>
        <v>844305.90007500001</v>
      </c>
      <c r="J23" s="41" t="s">
        <v>441</v>
      </c>
      <c r="K23" s="41">
        <f t="shared" si="2"/>
        <v>744305.90007500001</v>
      </c>
      <c r="L23" s="41" t="s">
        <v>480</v>
      </c>
      <c r="M23" s="42">
        <f t="shared" si="3"/>
        <v>1044305.900075</v>
      </c>
      <c r="N23" s="41">
        <f t="shared" si="4"/>
        <v>2193.0423901575</v>
      </c>
      <c r="O23" s="41">
        <f t="shared" si="5"/>
        <v>2000</v>
      </c>
      <c r="P23" s="54">
        <f t="shared" si="7"/>
        <v>16886.118001499999</v>
      </c>
      <c r="Q23" s="5" t="s">
        <v>28</v>
      </c>
      <c r="R23" s="5" t="s">
        <v>34</v>
      </c>
      <c r="S23" s="5"/>
      <c r="T23" s="5"/>
      <c r="U23" s="5">
        <v>8161781081</v>
      </c>
      <c r="V23" s="5" t="s">
        <v>199</v>
      </c>
      <c r="W23" s="43">
        <f t="shared" si="8"/>
        <v>1982</v>
      </c>
      <c r="X23" s="43">
        <f t="shared" si="9"/>
        <v>44</v>
      </c>
      <c r="Z23" s="44" t="str">
        <f t="shared" si="6"/>
        <v>RUNJIN SAMBO AREA SOKOTO</v>
      </c>
    </row>
    <row r="24" spans="1:26" x14ac:dyDescent="0.25">
      <c r="A24" s="5" t="s">
        <v>35</v>
      </c>
      <c r="B24">
        <v>1</v>
      </c>
      <c r="C24" s="40">
        <v>1000501570</v>
      </c>
      <c r="D24" s="5" t="s">
        <v>37</v>
      </c>
      <c r="E24" s="5" t="s">
        <v>361</v>
      </c>
      <c r="F24" s="33">
        <v>9072998.6688000001</v>
      </c>
      <c r="G24" s="41">
        <f t="shared" si="0"/>
        <v>2468249.6672</v>
      </c>
      <c r="H24" s="41" t="s">
        <v>403</v>
      </c>
      <c r="I24" s="41">
        <f t="shared" si="1"/>
        <v>2268249.6672</v>
      </c>
      <c r="J24" s="41" t="s">
        <v>442</v>
      </c>
      <c r="K24" s="41">
        <f t="shared" si="2"/>
        <v>2168249.6672</v>
      </c>
      <c r="L24" s="41" t="s">
        <v>481</v>
      </c>
      <c r="M24" s="42">
        <f t="shared" si="3"/>
        <v>2468249.6672</v>
      </c>
      <c r="N24" s="41">
        <f t="shared" si="4"/>
        <v>5183.3243011199993</v>
      </c>
      <c r="O24" s="41">
        <f t="shared" si="5"/>
        <v>2000</v>
      </c>
      <c r="P24" s="54">
        <f t="shared" si="7"/>
        <v>45364.993344000002</v>
      </c>
      <c r="Q24" s="5" t="s">
        <v>39</v>
      </c>
      <c r="R24" s="5" t="s">
        <v>40</v>
      </c>
      <c r="S24" s="5"/>
      <c r="T24" s="5"/>
      <c r="U24" s="6">
        <v>7036813313</v>
      </c>
      <c r="V24" s="14">
        <v>31758</v>
      </c>
      <c r="W24" s="43">
        <f t="shared" si="8"/>
        <v>1986</v>
      </c>
      <c r="X24" s="43">
        <f t="shared" si="9"/>
        <v>40</v>
      </c>
      <c r="Z24" s="44" t="str">
        <f t="shared" si="6"/>
        <v>ESTERN BY PASS DAMIMANA SOKOTO</v>
      </c>
    </row>
    <row r="25" spans="1:26" x14ac:dyDescent="0.25">
      <c r="A25" s="5" t="s">
        <v>35</v>
      </c>
      <c r="C25" s="40">
        <v>1000501571</v>
      </c>
      <c r="D25" s="5" t="s">
        <v>44</v>
      </c>
      <c r="E25" s="5" t="s">
        <v>41</v>
      </c>
      <c r="F25" s="33">
        <v>7947532.6326000001</v>
      </c>
      <c r="G25" s="41">
        <f t="shared" si="0"/>
        <v>2186883.15815</v>
      </c>
      <c r="H25" s="41" t="s">
        <v>404</v>
      </c>
      <c r="I25" s="41">
        <f t="shared" si="1"/>
        <v>1986883.15815</v>
      </c>
      <c r="J25" s="41" t="s">
        <v>443</v>
      </c>
      <c r="K25" s="41">
        <f t="shared" si="2"/>
        <v>1886883.15815</v>
      </c>
      <c r="L25" s="41" t="s">
        <v>482</v>
      </c>
      <c r="M25" s="42">
        <f t="shared" si="3"/>
        <v>2186883.15815</v>
      </c>
      <c r="N25" s="41">
        <f t="shared" si="4"/>
        <v>4592.4546321150001</v>
      </c>
      <c r="O25" s="41">
        <f t="shared" si="5"/>
        <v>2000</v>
      </c>
      <c r="P25" s="54">
        <f t="shared" si="7"/>
        <v>39737.663163000005</v>
      </c>
      <c r="Q25" s="5" t="s">
        <v>46</v>
      </c>
      <c r="R25" s="5" t="s">
        <v>48</v>
      </c>
      <c r="S25" s="5"/>
      <c r="T25" s="5"/>
      <c r="U25" s="6">
        <v>8060431885</v>
      </c>
      <c r="V25" s="5" t="s">
        <v>213</v>
      </c>
      <c r="W25" s="43">
        <f t="shared" si="8"/>
        <v>1983</v>
      </c>
      <c r="X25" s="43">
        <f t="shared" si="9"/>
        <v>43</v>
      </c>
      <c r="Z25" s="44" t="str">
        <f t="shared" si="6"/>
        <v>HOUSING ESTATE RUNJIN SAMBO SOKOTO</v>
      </c>
    </row>
    <row r="26" spans="1:26" x14ac:dyDescent="0.25">
      <c r="A26" s="5" t="s">
        <v>35</v>
      </c>
      <c r="C26" s="40">
        <v>1000501572</v>
      </c>
      <c r="D26" s="5" t="s">
        <v>53</v>
      </c>
      <c r="E26" s="5" t="s">
        <v>49</v>
      </c>
      <c r="F26" s="33">
        <v>9637507.9548000004</v>
      </c>
      <c r="G26" s="41">
        <f t="shared" si="0"/>
        <v>2609376.9887000001</v>
      </c>
      <c r="H26" s="41" t="s">
        <v>405</v>
      </c>
      <c r="I26" s="41">
        <f t="shared" si="1"/>
        <v>2409376.9887000001</v>
      </c>
      <c r="J26" s="41" t="s">
        <v>444</v>
      </c>
      <c r="K26" s="41">
        <f t="shared" si="2"/>
        <v>2309376.9887000001</v>
      </c>
      <c r="L26" s="41" t="s">
        <v>483</v>
      </c>
      <c r="M26" s="42">
        <f t="shared" si="3"/>
        <v>2609376.9887000001</v>
      </c>
      <c r="N26" s="41">
        <f t="shared" si="4"/>
        <v>5479.6916762700002</v>
      </c>
      <c r="O26" s="41">
        <f t="shared" si="5"/>
        <v>2000</v>
      </c>
      <c r="P26" s="54">
        <f t="shared" si="7"/>
        <v>48187.539774000004</v>
      </c>
      <c r="Q26" s="5" t="s">
        <v>55</v>
      </c>
      <c r="R26" s="5" t="s">
        <v>56</v>
      </c>
      <c r="S26" s="5"/>
      <c r="T26" s="5"/>
      <c r="U26" s="5">
        <v>8037824026</v>
      </c>
      <c r="V26" s="14">
        <v>32175</v>
      </c>
      <c r="W26" s="43">
        <f t="shared" si="8"/>
        <v>1988</v>
      </c>
      <c r="X26" s="43">
        <f t="shared" si="9"/>
        <v>38</v>
      </c>
      <c r="Z26" s="44" t="str">
        <f t="shared" si="6"/>
        <v>DUNGUZAR ROAD GWIWA LOWCOST SOKOTO</v>
      </c>
    </row>
    <row r="27" spans="1:26" x14ac:dyDescent="0.25">
      <c r="A27" s="5" t="s">
        <v>35</v>
      </c>
      <c r="C27" s="40">
        <v>1000501573</v>
      </c>
      <c r="D27" s="5" t="s">
        <v>61</v>
      </c>
      <c r="E27" s="5" t="s">
        <v>57</v>
      </c>
      <c r="F27" s="33">
        <v>9857824.0794000011</v>
      </c>
      <c r="G27" s="41">
        <f t="shared" si="0"/>
        <v>2664456.0198500003</v>
      </c>
      <c r="H27" s="41" t="s">
        <v>406</v>
      </c>
      <c r="I27" s="41">
        <f t="shared" si="1"/>
        <v>2464456.0198500003</v>
      </c>
      <c r="J27" s="41" t="s">
        <v>445</v>
      </c>
      <c r="K27" s="41">
        <f t="shared" si="2"/>
        <v>2364456.0198500003</v>
      </c>
      <c r="L27" s="41" t="s">
        <v>484</v>
      </c>
      <c r="M27" s="42">
        <f t="shared" si="3"/>
        <v>2664456.0198500003</v>
      </c>
      <c r="N27" s="41">
        <f t="shared" si="4"/>
        <v>5595.3576416850001</v>
      </c>
      <c r="O27" s="41">
        <f t="shared" si="5"/>
        <v>2000</v>
      </c>
      <c r="P27" s="54">
        <f t="shared" si="7"/>
        <v>49289.120397000006</v>
      </c>
      <c r="Q27" s="5" t="s">
        <v>63</v>
      </c>
      <c r="R27" s="5" t="s">
        <v>66</v>
      </c>
      <c r="S27" s="5"/>
      <c r="T27" s="5"/>
      <c r="U27" s="5">
        <v>8035763839</v>
      </c>
      <c r="V27" s="19">
        <v>25487</v>
      </c>
      <c r="W27" s="43">
        <f t="shared" si="8"/>
        <v>1969</v>
      </c>
      <c r="X27" s="43">
        <f t="shared" si="9"/>
        <v>57</v>
      </c>
      <c r="Z27" s="44" t="str">
        <f t="shared" si="6"/>
        <v>TAMAJE AREA SOKOTO</v>
      </c>
    </row>
    <row r="28" spans="1:26" x14ac:dyDescent="0.25">
      <c r="A28" s="5" t="s">
        <v>35</v>
      </c>
      <c r="C28" s="40">
        <v>1000501574</v>
      </c>
      <c r="D28" s="5" t="s">
        <v>70</v>
      </c>
      <c r="E28" s="5" t="s">
        <v>67</v>
      </c>
      <c r="F28" s="33">
        <v>8340656.494500001</v>
      </c>
      <c r="G28" s="41">
        <f t="shared" si="0"/>
        <v>2285164.123625</v>
      </c>
      <c r="H28" s="41" t="s">
        <v>407</v>
      </c>
      <c r="I28" s="41">
        <f t="shared" si="1"/>
        <v>2085164.1236250002</v>
      </c>
      <c r="J28" s="41" t="s">
        <v>446</v>
      </c>
      <c r="K28" s="41">
        <f t="shared" si="2"/>
        <v>1985164.123625</v>
      </c>
      <c r="L28" s="41" t="s">
        <v>485</v>
      </c>
      <c r="M28" s="42">
        <f t="shared" si="3"/>
        <v>2285164.123625</v>
      </c>
      <c r="N28" s="41">
        <f t="shared" si="4"/>
        <v>4798.8446596124995</v>
      </c>
      <c r="O28" s="41">
        <f t="shared" si="5"/>
        <v>2000</v>
      </c>
      <c r="P28" s="54">
        <f t="shared" si="7"/>
        <v>41703.282472500003</v>
      </c>
      <c r="Q28" s="5" t="s">
        <v>72</v>
      </c>
      <c r="R28" s="5" t="s">
        <v>74</v>
      </c>
      <c r="S28" s="5"/>
      <c r="T28" s="5"/>
      <c r="U28" s="5">
        <v>8132641867</v>
      </c>
      <c r="V28" s="19">
        <v>26496</v>
      </c>
      <c r="W28" s="43">
        <f t="shared" si="8"/>
        <v>1972</v>
      </c>
      <c r="X28" s="43">
        <f t="shared" si="9"/>
        <v>54</v>
      </c>
      <c r="Z28" s="44" t="str">
        <f t="shared" si="6"/>
        <v>G.R.A POLICE BARRACKS</v>
      </c>
    </row>
    <row r="29" spans="1:26" x14ac:dyDescent="0.25">
      <c r="A29" s="5" t="s">
        <v>35</v>
      </c>
      <c r="C29" s="40">
        <v>1000501575</v>
      </c>
      <c r="D29" s="5" t="s">
        <v>78</v>
      </c>
      <c r="E29" s="5" t="s">
        <v>75</v>
      </c>
      <c r="F29" s="33">
        <v>7760288.5371000003</v>
      </c>
      <c r="G29" s="41">
        <f t="shared" si="0"/>
        <v>2140072.1342750001</v>
      </c>
      <c r="H29" s="41" t="s">
        <v>408</v>
      </c>
      <c r="I29" s="41">
        <f t="shared" si="1"/>
        <v>1940072.1342750001</v>
      </c>
      <c r="J29" s="41" t="s">
        <v>447</v>
      </c>
      <c r="K29" s="41">
        <f t="shared" si="2"/>
        <v>1840072.1342750001</v>
      </c>
      <c r="L29" s="41" t="s">
        <v>486</v>
      </c>
      <c r="M29" s="42">
        <f t="shared" si="3"/>
        <v>2140072.1342750001</v>
      </c>
      <c r="N29" s="41">
        <f t="shared" si="4"/>
        <v>4494.1514819775002</v>
      </c>
      <c r="O29" s="41">
        <f t="shared" si="5"/>
        <v>2000</v>
      </c>
      <c r="P29" s="54">
        <f t="shared" si="7"/>
        <v>38801.442685500006</v>
      </c>
      <c r="Q29" s="5" t="s">
        <v>80</v>
      </c>
      <c r="R29" s="5" t="s">
        <v>82</v>
      </c>
      <c r="S29" s="5"/>
      <c r="T29" s="5"/>
      <c r="U29" s="5">
        <v>8030579553</v>
      </c>
      <c r="V29" s="19">
        <v>32141</v>
      </c>
      <c r="W29" s="43">
        <f t="shared" si="8"/>
        <v>1987</v>
      </c>
      <c r="X29" s="43">
        <f t="shared" si="9"/>
        <v>39</v>
      </c>
      <c r="Z29" s="44" t="str">
        <f t="shared" si="6"/>
        <v>MANA KARAMA TOWN SOKOTO</v>
      </c>
    </row>
    <row r="30" spans="1:26" x14ac:dyDescent="0.25">
      <c r="A30" s="26" t="s">
        <v>35</v>
      </c>
      <c r="C30" s="40">
        <v>1000501584</v>
      </c>
      <c r="D30" s="47" t="s">
        <v>154</v>
      </c>
      <c r="E30" s="47" t="s">
        <v>151</v>
      </c>
      <c r="F30" s="33">
        <v>25088261.853599999</v>
      </c>
      <c r="G30" s="41">
        <f t="shared" si="0"/>
        <v>6472065.4633999998</v>
      </c>
      <c r="H30" s="41" t="s">
        <v>409</v>
      </c>
      <c r="I30" s="41">
        <f t="shared" si="1"/>
        <v>6272065.4633999998</v>
      </c>
      <c r="J30" s="41" t="s">
        <v>448</v>
      </c>
      <c r="K30" s="41">
        <f t="shared" si="2"/>
        <v>6172065.4633999998</v>
      </c>
      <c r="L30" s="41" t="s">
        <v>487</v>
      </c>
      <c r="M30" s="42">
        <f t="shared" si="3"/>
        <v>6472065.4633999998</v>
      </c>
      <c r="N30" s="41">
        <f t="shared" si="4"/>
        <v>13591.337473139998</v>
      </c>
      <c r="O30" s="41">
        <f t="shared" si="5"/>
        <v>2000</v>
      </c>
      <c r="P30" s="54">
        <f t="shared" si="7"/>
        <v>125441.309268</v>
      </c>
      <c r="Q30" s="47" t="s">
        <v>156</v>
      </c>
      <c r="R30" s="47" t="s">
        <v>158</v>
      </c>
      <c r="S30" s="47"/>
      <c r="T30" s="47"/>
      <c r="U30" s="47">
        <v>8062373094</v>
      </c>
      <c r="V30" s="23">
        <v>29481</v>
      </c>
      <c r="W30" s="43">
        <f t="shared" si="8"/>
        <v>1980</v>
      </c>
      <c r="X30" s="43">
        <f t="shared" si="9"/>
        <v>46</v>
      </c>
      <c r="Z30" s="44" t="str">
        <f t="shared" si="6"/>
        <v>MABERA LAYOUT BEHIND MABERA CLINIC SOKOTO</v>
      </c>
    </row>
    <row r="31" spans="1:26" x14ac:dyDescent="0.25">
      <c r="A31" s="9" t="s">
        <v>35</v>
      </c>
      <c r="C31" s="40">
        <v>1000501590</v>
      </c>
      <c r="D31" s="9" t="s">
        <v>182</v>
      </c>
      <c r="E31" s="9" t="s">
        <v>178</v>
      </c>
      <c r="F31" s="33">
        <v>38079180.295199998</v>
      </c>
      <c r="G31" s="41">
        <f t="shared" si="0"/>
        <v>9719795.0737999994</v>
      </c>
      <c r="H31" s="41" t="s">
        <v>410</v>
      </c>
      <c r="I31" s="41">
        <f t="shared" si="1"/>
        <v>9519795.0737999994</v>
      </c>
      <c r="J31" s="41" t="s">
        <v>449</v>
      </c>
      <c r="K31" s="41">
        <f t="shared" si="2"/>
        <v>9419795.0737999994</v>
      </c>
      <c r="L31" s="41" t="s">
        <v>488</v>
      </c>
      <c r="M31" s="42">
        <f t="shared" si="3"/>
        <v>9719795.0737999994</v>
      </c>
      <c r="N31" s="41">
        <f t="shared" si="4"/>
        <v>20411.569654979998</v>
      </c>
      <c r="O31" s="41">
        <f t="shared" si="5"/>
        <v>2000</v>
      </c>
      <c r="P31" s="54">
        <f t="shared" si="7"/>
        <v>190395.901476</v>
      </c>
      <c r="Q31" s="9" t="s">
        <v>183</v>
      </c>
      <c r="R31" s="9" t="s">
        <v>182</v>
      </c>
      <c r="S31" s="9"/>
      <c r="T31" s="9"/>
      <c r="U31" s="9">
        <v>8028411751</v>
      </c>
      <c r="V31" s="14">
        <v>29092</v>
      </c>
      <c r="W31" s="43">
        <f t="shared" si="8"/>
        <v>1979</v>
      </c>
      <c r="X31" s="43">
        <f t="shared" si="9"/>
        <v>47</v>
      </c>
      <c r="Z31" s="44" t="str">
        <f t="shared" si="6"/>
        <v>ACO PHASE2,LUGBE AIRPORT ROAD</v>
      </c>
    </row>
    <row r="32" spans="1:26" x14ac:dyDescent="0.25">
      <c r="A32" s="5" t="s">
        <v>35</v>
      </c>
      <c r="C32" s="40">
        <v>1000501591</v>
      </c>
      <c r="D32" s="9" t="s">
        <v>187</v>
      </c>
      <c r="E32" s="5" t="s">
        <v>185</v>
      </c>
      <c r="F32" s="33">
        <v>8900231.818500001</v>
      </c>
      <c r="G32" s="41">
        <f t="shared" si="0"/>
        <v>2425057.9546250002</v>
      </c>
      <c r="H32" s="41" t="s">
        <v>411</v>
      </c>
      <c r="I32" s="41">
        <f t="shared" si="1"/>
        <v>2225057.9546250002</v>
      </c>
      <c r="J32" s="41" t="s">
        <v>450</v>
      </c>
      <c r="K32" s="41">
        <f t="shared" si="2"/>
        <v>2125057.9546250002</v>
      </c>
      <c r="L32" s="41" t="s">
        <v>489</v>
      </c>
      <c r="M32" s="42">
        <f t="shared" si="3"/>
        <v>2425057.9546250002</v>
      </c>
      <c r="N32" s="41">
        <f t="shared" si="4"/>
        <v>5092.6217047125001</v>
      </c>
      <c r="O32" s="41">
        <f t="shared" si="5"/>
        <v>2000</v>
      </c>
      <c r="P32" s="54">
        <f t="shared" si="7"/>
        <v>44501.159092500005</v>
      </c>
      <c r="Q32" s="47" t="s">
        <v>188</v>
      </c>
      <c r="R32" s="26" t="s">
        <v>187</v>
      </c>
      <c r="S32" s="26"/>
      <c r="T32" s="26"/>
      <c r="U32" s="47">
        <v>8029010891</v>
      </c>
      <c r="V32" s="28">
        <v>30004</v>
      </c>
      <c r="W32" s="43">
        <f t="shared" si="8"/>
        <v>1982</v>
      </c>
      <c r="X32" s="43">
        <f t="shared" si="9"/>
        <v>44</v>
      </c>
      <c r="Z32" s="44" t="str">
        <f t="shared" si="6"/>
        <v xml:space="preserve">AREA F,NYANYA </v>
      </c>
    </row>
    <row r="33" spans="1:26" x14ac:dyDescent="0.25">
      <c r="A33" s="5" t="s">
        <v>35</v>
      </c>
      <c r="C33" s="40">
        <v>1000501592</v>
      </c>
      <c r="D33" s="9" t="s">
        <v>193</v>
      </c>
      <c r="E33" s="47" t="s">
        <v>189</v>
      </c>
      <c r="F33" s="33">
        <v>4941525.1050000004</v>
      </c>
      <c r="G33" s="41">
        <f t="shared" si="0"/>
        <v>1435381.2762500001</v>
      </c>
      <c r="H33" s="41" t="s">
        <v>412</v>
      </c>
      <c r="I33" s="41">
        <f t="shared" si="1"/>
        <v>1235381.2762500001</v>
      </c>
      <c r="J33" s="41" t="s">
        <v>451</v>
      </c>
      <c r="K33" s="41">
        <f t="shared" si="2"/>
        <v>1135381.2762500001</v>
      </c>
      <c r="L33" s="41" t="s">
        <v>490</v>
      </c>
      <c r="M33" s="42">
        <f t="shared" si="3"/>
        <v>1435381.2762500001</v>
      </c>
      <c r="N33" s="41">
        <f t="shared" si="4"/>
        <v>3014.3006801249999</v>
      </c>
      <c r="O33" s="41">
        <f t="shared" si="5"/>
        <v>2000</v>
      </c>
      <c r="P33" s="54">
        <f t="shared" si="7"/>
        <v>24707.625525000003</v>
      </c>
      <c r="Q33" s="47" t="s">
        <v>194</v>
      </c>
      <c r="R33" s="26" t="s">
        <v>193</v>
      </c>
      <c r="S33" s="26"/>
      <c r="T33" s="26"/>
      <c r="U33" s="47">
        <v>8028022604</v>
      </c>
      <c r="V33" s="28">
        <v>29994</v>
      </c>
      <c r="W33" s="43">
        <f t="shared" si="8"/>
        <v>1982</v>
      </c>
      <c r="X33" s="43">
        <f t="shared" si="9"/>
        <v>44</v>
      </c>
      <c r="Z33" s="44" t="str">
        <f t="shared" si="6"/>
        <v>NO 11,KORBI,MAKARANTA,AOKORO EXTENSION</v>
      </c>
    </row>
    <row r="34" spans="1:26" x14ac:dyDescent="0.25">
      <c r="A34" s="5" t="s">
        <v>35</v>
      </c>
      <c r="C34" s="40">
        <v>1000501593</v>
      </c>
      <c r="D34" s="9" t="s">
        <v>197</v>
      </c>
      <c r="E34" s="47" t="s">
        <v>195</v>
      </c>
      <c r="F34" s="33">
        <v>7219984.4342999998</v>
      </c>
      <c r="G34" s="41">
        <f t="shared" si="0"/>
        <v>2004996.108575</v>
      </c>
      <c r="H34" s="41" t="s">
        <v>413</v>
      </c>
      <c r="I34" s="41">
        <f t="shared" si="1"/>
        <v>1804996.108575</v>
      </c>
      <c r="J34" s="41" t="s">
        <v>452</v>
      </c>
      <c r="K34" s="41">
        <f t="shared" si="2"/>
        <v>1704996.108575</v>
      </c>
      <c r="L34" s="41" t="s">
        <v>491</v>
      </c>
      <c r="M34" s="42">
        <f t="shared" si="3"/>
        <v>2004996.108575</v>
      </c>
      <c r="N34" s="41">
        <f t="shared" si="4"/>
        <v>4210.4918280074999</v>
      </c>
      <c r="O34" s="41">
        <f t="shared" si="5"/>
        <v>2000</v>
      </c>
      <c r="P34" s="54">
        <f t="shared" si="7"/>
        <v>36099.922171500002</v>
      </c>
      <c r="Q34" s="47" t="s">
        <v>198</v>
      </c>
      <c r="R34" s="47" t="s">
        <v>201</v>
      </c>
      <c r="S34" s="47"/>
      <c r="T34" s="47"/>
      <c r="U34" s="47">
        <v>8036813453</v>
      </c>
      <c r="V34" s="29">
        <v>32508</v>
      </c>
      <c r="W34" s="43">
        <f t="shared" si="8"/>
        <v>1988</v>
      </c>
      <c r="X34" s="43">
        <f t="shared" si="9"/>
        <v>38</v>
      </c>
      <c r="Z34" s="44" t="str">
        <f t="shared" si="6"/>
        <v>NO 2,NDA,BELLO CLOSE,A.P.C QUARTERS,SULEJA</v>
      </c>
    </row>
    <row r="35" spans="1:26" x14ac:dyDescent="0.25">
      <c r="A35" s="5" t="s">
        <v>35</v>
      </c>
      <c r="C35" s="40">
        <v>1000501594</v>
      </c>
      <c r="D35" s="9" t="s">
        <v>205</v>
      </c>
      <c r="E35" s="47" t="s">
        <v>202</v>
      </c>
      <c r="F35" s="33">
        <v>5311721.6162999999</v>
      </c>
      <c r="G35" s="41">
        <f t="shared" si="0"/>
        <v>1527930.404075</v>
      </c>
      <c r="H35" s="41" t="s">
        <v>414</v>
      </c>
      <c r="I35" s="41">
        <f t="shared" si="1"/>
        <v>1327930.404075</v>
      </c>
      <c r="J35" s="41" t="s">
        <v>453</v>
      </c>
      <c r="K35" s="41">
        <f t="shared" si="2"/>
        <v>1227930.404075</v>
      </c>
      <c r="L35" s="41" t="s">
        <v>492</v>
      </c>
      <c r="M35" s="42">
        <f t="shared" si="3"/>
        <v>1527930.404075</v>
      </c>
      <c r="N35" s="41">
        <f t="shared" si="4"/>
        <v>3208.6538485574997</v>
      </c>
      <c r="O35" s="41">
        <f t="shared" si="5"/>
        <v>2000</v>
      </c>
      <c r="P35" s="54">
        <f t="shared" si="7"/>
        <v>26558.608081499999</v>
      </c>
      <c r="Q35" s="47" t="s">
        <v>206</v>
      </c>
      <c r="R35" s="47" t="s">
        <v>207</v>
      </c>
      <c r="S35" s="47"/>
      <c r="T35" s="47"/>
      <c r="U35" s="47">
        <v>8037740704</v>
      </c>
      <c r="V35" s="29">
        <v>31972</v>
      </c>
      <c r="W35" s="43">
        <f t="shared" si="8"/>
        <v>1987</v>
      </c>
      <c r="X35" s="43">
        <f t="shared" si="9"/>
        <v>39</v>
      </c>
      <c r="Z35" s="44" t="str">
        <f t="shared" si="6"/>
        <v>SHAFFA E.Y.N CHURCH</v>
      </c>
    </row>
    <row r="36" spans="1:26" x14ac:dyDescent="0.25">
      <c r="A36" s="5" t="s">
        <v>35</v>
      </c>
      <c r="C36" s="40">
        <v>1000501595</v>
      </c>
      <c r="D36" s="9" t="s">
        <v>211</v>
      </c>
      <c r="E36" s="47" t="s">
        <v>208</v>
      </c>
      <c r="F36" s="33">
        <v>16668795.904199999</v>
      </c>
      <c r="G36" s="41">
        <f t="shared" si="0"/>
        <v>4367198.9760499997</v>
      </c>
      <c r="H36" s="41" t="s">
        <v>415</v>
      </c>
      <c r="I36" s="41">
        <f t="shared" si="1"/>
        <v>4167198.9760499997</v>
      </c>
      <c r="J36" s="41" t="s">
        <v>454</v>
      </c>
      <c r="K36" s="41">
        <f t="shared" si="2"/>
        <v>4067198.9760499997</v>
      </c>
      <c r="L36" s="41" t="s">
        <v>493</v>
      </c>
      <c r="M36" s="42">
        <f t="shared" si="3"/>
        <v>4367198.9760499997</v>
      </c>
      <c r="N36" s="41">
        <f t="shared" si="4"/>
        <v>9171.1178497049987</v>
      </c>
      <c r="O36" s="41">
        <f t="shared" si="5"/>
        <v>2000</v>
      </c>
      <c r="P36" s="54">
        <f t="shared" si="7"/>
        <v>83343.979521000001</v>
      </c>
      <c r="Q36" s="47" t="s">
        <v>212</v>
      </c>
      <c r="R36" s="26" t="s">
        <v>211</v>
      </c>
      <c r="S36" s="26"/>
      <c r="T36" s="26"/>
      <c r="U36" s="47">
        <v>8065578679</v>
      </c>
      <c r="V36" s="29">
        <v>27465</v>
      </c>
      <c r="W36" s="43">
        <f t="shared" si="8"/>
        <v>1975</v>
      </c>
      <c r="X36" s="43">
        <f t="shared" si="9"/>
        <v>51</v>
      </c>
      <c r="Z36" s="44" t="str">
        <f t="shared" si="6"/>
        <v>S26 HAUSA WAY KARU SITE ABUJA</v>
      </c>
    </row>
    <row r="37" spans="1:26" x14ac:dyDescent="0.25">
      <c r="A37" s="5" t="s">
        <v>35</v>
      </c>
      <c r="C37" s="40">
        <v>1000501596</v>
      </c>
      <c r="D37" s="9" t="s">
        <v>219</v>
      </c>
      <c r="E37" s="47" t="s">
        <v>215</v>
      </c>
      <c r="F37" s="33">
        <v>2483016.2577</v>
      </c>
      <c r="G37" s="41">
        <f t="shared" si="0"/>
        <v>820754.06442499999</v>
      </c>
      <c r="H37" s="41" t="s">
        <v>416</v>
      </c>
      <c r="I37" s="41">
        <f t="shared" si="1"/>
        <v>620754.06442499999</v>
      </c>
      <c r="J37" s="41" t="s">
        <v>455</v>
      </c>
      <c r="K37" s="41">
        <f t="shared" si="2"/>
        <v>520754.06442499999</v>
      </c>
      <c r="L37" s="41" t="s">
        <v>494</v>
      </c>
      <c r="M37" s="42">
        <f t="shared" si="3"/>
        <v>820754.06442499999</v>
      </c>
      <c r="N37" s="41">
        <f t="shared" si="4"/>
        <v>1723.5835352924998</v>
      </c>
      <c r="O37" s="41">
        <f t="shared" si="5"/>
        <v>2000</v>
      </c>
      <c r="P37" s="54">
        <f t="shared" si="7"/>
        <v>12415.0812885</v>
      </c>
      <c r="Q37" s="47" t="s">
        <v>220</v>
      </c>
      <c r="R37" s="47" t="s">
        <v>222</v>
      </c>
      <c r="S37" s="47"/>
      <c r="T37" s="47"/>
      <c r="U37" s="47">
        <v>8066374175</v>
      </c>
      <c r="V37" s="29">
        <v>31039</v>
      </c>
      <c r="W37" s="43">
        <f t="shared" si="8"/>
        <v>1984</v>
      </c>
      <c r="X37" s="43">
        <f t="shared" si="9"/>
        <v>42</v>
      </c>
      <c r="Z37" s="44" t="str">
        <f t="shared" si="6"/>
        <v>NO 16 SULEI AIGBE STREET DAWAKI</v>
      </c>
    </row>
    <row r="38" spans="1:26" x14ac:dyDescent="0.25">
      <c r="A38" s="5" t="s">
        <v>35</v>
      </c>
      <c r="C38" s="40">
        <v>1000501597</v>
      </c>
      <c r="D38" s="9" t="s">
        <v>226</v>
      </c>
      <c r="E38" s="26" t="s">
        <v>223</v>
      </c>
      <c r="F38" s="33">
        <v>13195814.900400002</v>
      </c>
      <c r="G38" s="41">
        <f t="shared" si="0"/>
        <v>3498953.7251000004</v>
      </c>
      <c r="H38" s="41" t="s">
        <v>417</v>
      </c>
      <c r="I38" s="41">
        <f t="shared" si="1"/>
        <v>3298953.7251000004</v>
      </c>
      <c r="J38" s="41" t="s">
        <v>456</v>
      </c>
      <c r="K38" s="41">
        <f t="shared" si="2"/>
        <v>3198953.7251000004</v>
      </c>
      <c r="L38" s="41" t="s">
        <v>495</v>
      </c>
      <c r="M38" s="42">
        <f t="shared" si="3"/>
        <v>3498953.7251000004</v>
      </c>
      <c r="N38" s="41">
        <f t="shared" si="4"/>
        <v>7347.8028227100003</v>
      </c>
      <c r="O38" s="41">
        <f t="shared" si="5"/>
        <v>2000</v>
      </c>
      <c r="P38" s="54">
        <f t="shared" si="7"/>
        <v>65979.074502000003</v>
      </c>
      <c r="Q38" s="26" t="s">
        <v>227</v>
      </c>
      <c r="R38" s="26" t="s">
        <v>230</v>
      </c>
      <c r="S38" s="26"/>
      <c r="T38" s="26"/>
      <c r="U38" s="48">
        <v>8135578626</v>
      </c>
      <c r="V38" s="29">
        <v>32570</v>
      </c>
      <c r="W38" s="43">
        <f t="shared" si="8"/>
        <v>1989</v>
      </c>
      <c r="X38" s="43">
        <f t="shared" si="9"/>
        <v>37</v>
      </c>
      <c r="Z38" s="44" t="str">
        <f t="shared" si="6"/>
        <v>PLOT 205 PRIME SCHOLAR SCH RD KARU SITE ABUJA</v>
      </c>
    </row>
    <row r="39" spans="1:26" x14ac:dyDescent="0.25">
      <c r="A39" s="5" t="s">
        <v>35</v>
      </c>
      <c r="C39" s="40">
        <v>1000501598</v>
      </c>
      <c r="D39" s="9" t="s">
        <v>234</v>
      </c>
      <c r="E39" s="26" t="s">
        <v>231</v>
      </c>
      <c r="F39" s="33">
        <v>15107251.2426</v>
      </c>
      <c r="G39" s="41">
        <f t="shared" si="0"/>
        <v>3976812.8106499999</v>
      </c>
      <c r="H39" s="41" t="s">
        <v>418</v>
      </c>
      <c r="I39" s="41">
        <f t="shared" si="1"/>
        <v>3776812.8106499999</v>
      </c>
      <c r="J39" s="41" t="s">
        <v>457</v>
      </c>
      <c r="K39" s="41">
        <f t="shared" si="2"/>
        <v>3676812.8106499999</v>
      </c>
      <c r="L39" s="41" t="s">
        <v>496</v>
      </c>
      <c r="M39" s="42">
        <f t="shared" si="3"/>
        <v>3976812.8106499999</v>
      </c>
      <c r="N39" s="41">
        <f t="shared" si="4"/>
        <v>8351.3069023649987</v>
      </c>
      <c r="O39" s="41">
        <f t="shared" si="5"/>
        <v>2000</v>
      </c>
      <c r="P39" s="54">
        <f t="shared" si="7"/>
        <v>75536.256213000001</v>
      </c>
      <c r="Q39" s="26" t="s">
        <v>227</v>
      </c>
      <c r="R39" s="26" t="s">
        <v>235</v>
      </c>
      <c r="S39" s="26"/>
      <c r="T39" s="26"/>
      <c r="U39" s="48">
        <v>8035872212</v>
      </c>
      <c r="V39" s="28">
        <v>27834</v>
      </c>
      <c r="W39" s="43">
        <f t="shared" si="8"/>
        <v>1976</v>
      </c>
      <c r="X39" s="43">
        <f t="shared" si="9"/>
        <v>50</v>
      </c>
      <c r="Z39" s="44" t="str">
        <f t="shared" si="6"/>
        <v>PLOT 205 PRIME SCHOLAR SCH RD KARU SITE ABUJA</v>
      </c>
    </row>
    <row r="40" spans="1:26" x14ac:dyDescent="0.25">
      <c r="A40" s="5" t="s">
        <v>35</v>
      </c>
      <c r="C40" s="40">
        <v>1000501599</v>
      </c>
      <c r="D40" s="9" t="s">
        <v>240</v>
      </c>
      <c r="E40" s="26" t="s">
        <v>236</v>
      </c>
      <c r="F40" s="33">
        <v>5297373.4176000003</v>
      </c>
      <c r="G40" s="41">
        <f t="shared" si="0"/>
        <v>1524343.3544000001</v>
      </c>
      <c r="H40" s="41" t="s">
        <v>419</v>
      </c>
      <c r="I40" s="41">
        <f t="shared" si="1"/>
        <v>1324343.3544000001</v>
      </c>
      <c r="J40" s="41" t="s">
        <v>458</v>
      </c>
      <c r="K40" s="41">
        <f t="shared" si="2"/>
        <v>1224343.3544000001</v>
      </c>
      <c r="L40" s="41" t="s">
        <v>497</v>
      </c>
      <c r="M40" s="42">
        <f t="shared" si="3"/>
        <v>1524343.3544000001</v>
      </c>
      <c r="N40" s="41">
        <f t="shared" si="4"/>
        <v>3201.1210442400002</v>
      </c>
      <c r="O40" s="41">
        <f t="shared" si="5"/>
        <v>2000</v>
      </c>
      <c r="P40" s="54">
        <f t="shared" si="7"/>
        <v>26486.867088000003</v>
      </c>
      <c r="Q40" s="26" t="s">
        <v>241</v>
      </c>
      <c r="R40" s="26" t="s">
        <v>242</v>
      </c>
      <c r="S40" s="26"/>
      <c r="T40" s="26"/>
      <c r="U40" s="48">
        <v>7062675682</v>
      </c>
      <c r="V40" s="28">
        <v>26665</v>
      </c>
      <c r="W40" s="43">
        <f t="shared" si="8"/>
        <v>1973</v>
      </c>
      <c r="X40" s="43">
        <f t="shared" si="9"/>
        <v>53</v>
      </c>
      <c r="Z40" s="44" t="str">
        <f t="shared" si="6"/>
        <v>NO 4 ABEJIDE STREET OFF AROFIDEL SCH ABACHA RD ABUJA</v>
      </c>
    </row>
  </sheetData>
  <autoFilter ref="A1:U8" xr:uid="{9CFFB231-E3BE-47B8-A33E-F423DB673D0F}">
    <sortState xmlns:xlrd2="http://schemas.microsoft.com/office/spreadsheetml/2017/richdata2" ref="A2:U40">
      <sortCondition ref="A1:A8"/>
    </sortState>
  </autoFilter>
  <conditionalFormatting sqref="D1:D1048576">
    <cfRule type="duplicateValues" dxfId="24" priority="17"/>
  </conditionalFormatting>
  <conditionalFormatting sqref="D2:D1048576">
    <cfRule type="duplicateValues" dxfId="23" priority="18"/>
    <cfRule type="duplicateValues" dxfId="22" priority="19"/>
  </conditionalFormatting>
  <conditionalFormatting sqref="E9:E1048576 E1">
    <cfRule type="duplicateValues" dxfId="21" priority="20"/>
    <cfRule type="duplicateValues" dxfId="20" priority="21"/>
    <cfRule type="duplicateValues" dxfId="19" priority="22"/>
  </conditionalFormatting>
  <conditionalFormatting sqref="F1:F1048576">
    <cfRule type="duplicateValues" dxfId="18" priority="16"/>
  </conditionalFormatting>
  <conditionalFormatting sqref="R2:T2 S3:T4">
    <cfRule type="duplicateValues" dxfId="17" priority="13"/>
    <cfRule type="duplicateValues" dxfId="16" priority="14"/>
    <cfRule type="duplicateValues" dxfId="15" priority="15"/>
  </conditionalFormatting>
  <conditionalFormatting sqref="R3">
    <cfRule type="duplicateValues" dxfId="14" priority="7"/>
    <cfRule type="duplicateValues" dxfId="13" priority="8"/>
    <cfRule type="duplicateValues" dxfId="12" priority="9"/>
  </conditionalFormatting>
  <conditionalFormatting sqref="R4">
    <cfRule type="duplicateValues" dxfId="11" priority="1"/>
    <cfRule type="duplicateValues" dxfId="10" priority="2"/>
    <cfRule type="duplicateValues" dxfId="9" priority="3"/>
  </conditionalFormatting>
  <conditionalFormatting sqref="R5:T5">
    <cfRule type="duplicateValues" dxfId="8" priority="10"/>
    <cfRule type="duplicateValues" dxfId="7" priority="11"/>
    <cfRule type="duplicateValues" dxfId="6" priority="12"/>
  </conditionalFormatting>
  <conditionalFormatting sqref="R6:T6">
    <cfRule type="duplicateValues" dxfId="5" priority="4"/>
    <cfRule type="duplicateValues" dxfId="4" priority="5"/>
    <cfRule type="duplicateValues" dxfId="3" priority="6"/>
  </conditionalFormatting>
  <conditionalFormatting sqref="R8:T8">
    <cfRule type="duplicateValues" dxfId="2" priority="23"/>
    <cfRule type="duplicateValues" dxfId="1" priority="24"/>
    <cfRule type="duplicateValues" dxfId="0" priority="2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5"/>
  <sheetViews>
    <sheetView topLeftCell="U19" workbookViewId="0">
      <selection activeCell="AA2" sqref="AA2"/>
    </sheetView>
  </sheetViews>
  <sheetFormatPr defaultColWidth="8.85546875" defaultRowHeight="15" x14ac:dyDescent="0.25"/>
  <cols>
    <col min="1" max="1" width="9" style="5" bestFit="1" customWidth="1"/>
    <col min="2" max="2" width="18.28515625" style="5" bestFit="1" customWidth="1"/>
    <col min="3" max="3" width="25.42578125" style="31" bestFit="1" customWidth="1"/>
    <col min="4" max="4" width="20.140625" style="33" customWidth="1"/>
    <col min="5" max="7" width="8.85546875" style="5"/>
    <col min="8" max="8" width="27.42578125" style="5" bestFit="1" customWidth="1"/>
    <col min="9" max="9" width="12.140625" style="5" bestFit="1" customWidth="1"/>
    <col min="10" max="10" width="12.85546875" style="5" bestFit="1" customWidth="1"/>
    <col min="11" max="11" width="59.7109375" style="5" bestFit="1" customWidth="1"/>
    <col min="12" max="12" width="8.85546875" style="5"/>
    <col min="13" max="13" width="10.7109375" style="5" bestFit="1" customWidth="1"/>
    <col min="14" max="15" width="8.85546875" style="5"/>
    <col min="16" max="16" width="12.42578125" style="5" bestFit="1" customWidth="1"/>
    <col min="17" max="17" width="8.85546875" style="5"/>
    <col min="18" max="18" width="10.5703125" style="5" bestFit="1" customWidth="1"/>
    <col min="19" max="19" width="11.28515625" style="5" bestFit="1" customWidth="1"/>
    <col min="20" max="20" width="12.5703125" style="5" bestFit="1" customWidth="1"/>
    <col min="21" max="21" width="19.85546875" style="5" customWidth="1"/>
    <col min="22" max="23" width="8.85546875" style="5"/>
    <col min="24" max="24" width="29.85546875" style="5" bestFit="1" customWidth="1"/>
    <col min="25" max="25" width="28.28515625" style="5" bestFit="1" customWidth="1"/>
    <col min="26" max="27" width="18.5703125" style="5" bestFit="1" customWidth="1"/>
    <col min="28" max="16384" width="8.85546875" style="5"/>
  </cols>
  <sheetData>
    <row r="1" spans="1:28" s="4" customFormat="1" x14ac:dyDescent="0.25">
      <c r="A1" s="1" t="s">
        <v>0</v>
      </c>
      <c r="B1" s="1" t="s">
        <v>1</v>
      </c>
      <c r="C1" s="31" t="s">
        <v>321</v>
      </c>
      <c r="D1" s="33" t="s">
        <v>16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3" t="s">
        <v>10</v>
      </c>
      <c r="N1" s="1" t="s">
        <v>11</v>
      </c>
      <c r="O1" s="1" t="s">
        <v>12</v>
      </c>
      <c r="P1" s="1"/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/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22</v>
      </c>
    </row>
    <row r="2" spans="1:28" x14ac:dyDescent="0.25">
      <c r="A2" s="5">
        <v>1</v>
      </c>
      <c r="B2" s="5" t="s">
        <v>23</v>
      </c>
      <c r="C2" s="31" t="s">
        <v>322</v>
      </c>
      <c r="D2" s="33">
        <v>3377223.6003</v>
      </c>
      <c r="E2" s="5" t="s">
        <v>24</v>
      </c>
      <c r="F2" s="5" t="s">
        <v>25</v>
      </c>
      <c r="H2" s="5" t="s">
        <v>26</v>
      </c>
      <c r="I2" s="6">
        <v>22322869194</v>
      </c>
      <c r="J2" s="7" t="s">
        <v>27</v>
      </c>
      <c r="K2" s="5" t="s">
        <v>28</v>
      </c>
      <c r="L2" s="5" t="s">
        <v>29</v>
      </c>
      <c r="M2" s="8">
        <v>32057</v>
      </c>
      <c r="N2" s="9" t="s">
        <v>30</v>
      </c>
      <c r="S2" s="10">
        <f t="shared" ref="S2:S40" si="0">U2-T2</f>
        <v>3377223.6003</v>
      </c>
      <c r="T2" s="10">
        <f t="shared" ref="T2:T40" si="1">U2/100</f>
        <v>34113.369700000003</v>
      </c>
      <c r="U2" s="5">
        <f>VLOOKUP(B:B,'[1]detailedrsabalance (42)'!$B:$Z,25,0)</f>
        <v>3411336.97</v>
      </c>
      <c r="V2" s="5" t="s">
        <v>31</v>
      </c>
      <c r="W2" s="5" t="s">
        <v>32</v>
      </c>
      <c r="Y2" s="11" t="s">
        <v>33</v>
      </c>
      <c r="Z2" s="5" t="s">
        <v>34</v>
      </c>
      <c r="AA2" s="9" t="s">
        <v>35</v>
      </c>
    </row>
    <row r="3" spans="1:28" x14ac:dyDescent="0.25">
      <c r="A3" s="9">
        <v>2</v>
      </c>
      <c r="B3" s="5" t="s">
        <v>361</v>
      </c>
      <c r="C3" s="31" t="s">
        <v>323</v>
      </c>
      <c r="D3" s="33">
        <v>9072998.6688000001</v>
      </c>
      <c r="E3" s="5" t="s">
        <v>36</v>
      </c>
      <c r="F3" s="5" t="s">
        <v>25</v>
      </c>
      <c r="H3" s="5" t="s">
        <v>37</v>
      </c>
      <c r="I3" s="6">
        <v>22234305577</v>
      </c>
      <c r="J3" s="12" t="s">
        <v>38</v>
      </c>
      <c r="K3" s="5" t="s">
        <v>39</v>
      </c>
      <c r="L3" s="5" t="s">
        <v>29</v>
      </c>
      <c r="M3" s="8">
        <v>27404</v>
      </c>
      <c r="N3" s="5" t="s">
        <v>30</v>
      </c>
      <c r="S3" s="10">
        <f t="shared" si="0"/>
        <v>9072998.6688000001</v>
      </c>
      <c r="T3" s="10">
        <f t="shared" si="1"/>
        <v>91646.451199999996</v>
      </c>
      <c r="U3" s="10">
        <v>9164645.1199999992</v>
      </c>
      <c r="V3" s="5" t="s">
        <v>31</v>
      </c>
      <c r="W3" s="5" t="s">
        <v>32</v>
      </c>
      <c r="Y3" s="13" t="s">
        <v>33</v>
      </c>
      <c r="Z3" s="5" t="s">
        <v>40</v>
      </c>
      <c r="AA3" s="5" t="s">
        <v>35</v>
      </c>
    </row>
    <row r="4" spans="1:28" x14ac:dyDescent="0.25">
      <c r="A4" s="5">
        <v>3</v>
      </c>
      <c r="B4" s="5" t="s">
        <v>41</v>
      </c>
      <c r="C4" s="31" t="s">
        <v>324</v>
      </c>
      <c r="D4" s="33">
        <v>7947532.6326000001</v>
      </c>
      <c r="E4" s="5" t="s">
        <v>42</v>
      </c>
      <c r="F4" s="5" t="s">
        <v>43</v>
      </c>
      <c r="H4" s="5" t="s">
        <v>44</v>
      </c>
      <c r="I4" s="6">
        <v>22192947747</v>
      </c>
      <c r="J4" s="12" t="s">
        <v>45</v>
      </c>
      <c r="K4" s="5" t="s">
        <v>46</v>
      </c>
      <c r="L4" s="5" t="s">
        <v>29</v>
      </c>
      <c r="M4" s="14" t="s">
        <v>47</v>
      </c>
      <c r="N4" s="5" t="s">
        <v>30</v>
      </c>
      <c r="S4" s="10">
        <f t="shared" si="0"/>
        <v>7947532.6326000001</v>
      </c>
      <c r="T4" s="10">
        <f t="shared" si="1"/>
        <v>80278.107400000008</v>
      </c>
      <c r="U4" s="5">
        <f>VLOOKUP(B:B,'[1]detailedrsabalance (42)'!$B:$Z,25,0)</f>
        <v>8027810.7400000002</v>
      </c>
      <c r="V4" s="5" t="s">
        <v>31</v>
      </c>
      <c r="W4" s="5" t="s">
        <v>32</v>
      </c>
      <c r="Y4" s="5" t="s">
        <v>33</v>
      </c>
      <c r="Z4" s="5" t="s">
        <v>48</v>
      </c>
      <c r="AA4" s="5" t="s">
        <v>35</v>
      </c>
    </row>
    <row r="5" spans="1:28" x14ac:dyDescent="0.25">
      <c r="A5" s="5">
        <v>4</v>
      </c>
      <c r="B5" s="5" t="s">
        <v>49</v>
      </c>
      <c r="C5" s="31" t="s">
        <v>325</v>
      </c>
      <c r="D5" s="33">
        <v>9637507.9548000004</v>
      </c>
      <c r="E5" s="5" t="s">
        <v>50</v>
      </c>
      <c r="F5" s="5" t="s">
        <v>51</v>
      </c>
      <c r="G5" s="5" t="s">
        <v>52</v>
      </c>
      <c r="H5" s="5" t="s">
        <v>53</v>
      </c>
      <c r="I5" s="6">
        <v>22162294026</v>
      </c>
      <c r="J5" s="7" t="s">
        <v>54</v>
      </c>
      <c r="K5" s="5" t="s">
        <v>55</v>
      </c>
      <c r="L5" s="5" t="s">
        <v>29</v>
      </c>
      <c r="M5" s="8">
        <v>29315</v>
      </c>
      <c r="N5" s="5" t="s">
        <v>30</v>
      </c>
      <c r="S5" s="10">
        <f t="shared" si="0"/>
        <v>9637507.9548000004</v>
      </c>
      <c r="T5" s="10">
        <f t="shared" si="1"/>
        <v>97348.565199999997</v>
      </c>
      <c r="U5" s="5">
        <f>VLOOKUP(B:B,'[1]detailedrsabalance (42)'!$B:$Z,25,0)</f>
        <v>9734856.5199999996</v>
      </c>
      <c r="V5" s="5" t="s">
        <v>31</v>
      </c>
      <c r="W5" s="5" t="s">
        <v>32</v>
      </c>
      <c r="Y5" s="5" t="s">
        <v>33</v>
      </c>
      <c r="Z5" s="5" t="s">
        <v>56</v>
      </c>
      <c r="AA5" s="5" t="s">
        <v>35</v>
      </c>
    </row>
    <row r="6" spans="1:28" x14ac:dyDescent="0.25">
      <c r="A6" s="5">
        <v>5</v>
      </c>
      <c r="B6" s="5" t="s">
        <v>57</v>
      </c>
      <c r="C6" s="31" t="s">
        <v>326</v>
      </c>
      <c r="D6" s="33">
        <v>9857824.0794000011</v>
      </c>
      <c r="E6" s="5" t="s">
        <v>58</v>
      </c>
      <c r="F6" s="5" t="s">
        <v>59</v>
      </c>
      <c r="G6" s="5" t="s">
        <v>60</v>
      </c>
      <c r="H6" s="5" t="s">
        <v>61</v>
      </c>
      <c r="I6" s="6">
        <v>22285115747</v>
      </c>
      <c r="J6" s="7" t="s">
        <v>62</v>
      </c>
      <c r="K6" s="5" t="s">
        <v>63</v>
      </c>
      <c r="L6" s="5" t="s">
        <v>64</v>
      </c>
      <c r="M6" s="5" t="s">
        <v>65</v>
      </c>
      <c r="N6" s="5" t="s">
        <v>30</v>
      </c>
      <c r="S6" s="10">
        <f t="shared" si="0"/>
        <v>9857824.0794000011</v>
      </c>
      <c r="T6" s="10">
        <f t="shared" si="1"/>
        <v>99573.98060000001</v>
      </c>
      <c r="U6" s="5">
        <f>VLOOKUP(B:B,'[1]detailedrsabalance (42)'!$B:$Z,25,0)</f>
        <v>9957398.0600000005</v>
      </c>
      <c r="V6" s="5" t="s">
        <v>31</v>
      </c>
      <c r="W6" s="5" t="s">
        <v>32</v>
      </c>
      <c r="Y6" s="5" t="s">
        <v>33</v>
      </c>
      <c r="Z6" s="5" t="s">
        <v>66</v>
      </c>
      <c r="AA6" s="5" t="s">
        <v>35</v>
      </c>
    </row>
    <row r="7" spans="1:28" x14ac:dyDescent="0.25">
      <c r="A7" s="5">
        <v>6</v>
      </c>
      <c r="B7" s="5" t="s">
        <v>67</v>
      </c>
      <c r="C7" s="31" t="s">
        <v>327</v>
      </c>
      <c r="D7" s="33">
        <v>8340656.494500001</v>
      </c>
      <c r="E7" s="5" t="s">
        <v>68</v>
      </c>
      <c r="F7" s="5" t="s">
        <v>69</v>
      </c>
      <c r="H7" s="5" t="s">
        <v>70</v>
      </c>
      <c r="I7" s="6">
        <v>22253386292</v>
      </c>
      <c r="J7" s="7" t="s">
        <v>71</v>
      </c>
      <c r="K7" s="5" t="s">
        <v>72</v>
      </c>
      <c r="L7" s="5" t="s">
        <v>29</v>
      </c>
      <c r="M7" s="5" t="s">
        <v>73</v>
      </c>
      <c r="N7" s="5" t="s">
        <v>30</v>
      </c>
      <c r="S7" s="10">
        <f t="shared" si="0"/>
        <v>8340656.494500001</v>
      </c>
      <c r="T7" s="10">
        <f t="shared" si="1"/>
        <v>84249.055500000002</v>
      </c>
      <c r="U7" s="5">
        <f>VLOOKUP(B:B,'[1]detailedrsabalance (42)'!$B:$Z,25,0)</f>
        <v>8424905.5500000007</v>
      </c>
      <c r="V7" s="5" t="s">
        <v>31</v>
      </c>
      <c r="W7" s="5" t="s">
        <v>32</v>
      </c>
      <c r="Y7" s="5" t="s">
        <v>33</v>
      </c>
      <c r="Z7" s="5" t="s">
        <v>74</v>
      </c>
      <c r="AA7" s="5" t="s">
        <v>35</v>
      </c>
    </row>
    <row r="8" spans="1:28" x14ac:dyDescent="0.25">
      <c r="A8" s="9">
        <v>7</v>
      </c>
      <c r="B8" s="5" t="s">
        <v>75</v>
      </c>
      <c r="C8" s="31" t="s">
        <v>328</v>
      </c>
      <c r="D8" s="33">
        <v>7760288.5371000003</v>
      </c>
      <c r="E8" s="5" t="s">
        <v>76</v>
      </c>
      <c r="F8" s="5" t="s">
        <v>77</v>
      </c>
      <c r="G8" s="5" t="s">
        <v>25</v>
      </c>
      <c r="H8" s="5" t="s">
        <v>78</v>
      </c>
      <c r="I8" s="6">
        <v>22218094758</v>
      </c>
      <c r="J8" s="7" t="s">
        <v>79</v>
      </c>
      <c r="K8" s="5" t="s">
        <v>80</v>
      </c>
      <c r="L8" s="5" t="s">
        <v>29</v>
      </c>
      <c r="M8" s="14">
        <v>27243</v>
      </c>
      <c r="N8" s="5" t="s">
        <v>30</v>
      </c>
      <c r="S8" s="10">
        <f t="shared" si="0"/>
        <v>7760288.5371000003</v>
      </c>
      <c r="T8" s="10">
        <f t="shared" si="1"/>
        <v>78386.752900000007</v>
      </c>
      <c r="U8" s="5">
        <f>VLOOKUP(B:B,'[1]detailedrsabalance (42)'!$B:$Z,25,0)</f>
        <v>7838675.29</v>
      </c>
      <c r="V8" s="5" t="s">
        <v>31</v>
      </c>
      <c r="W8" s="5" t="s">
        <v>32</v>
      </c>
      <c r="Y8" s="5" t="s">
        <v>81</v>
      </c>
      <c r="Z8" s="5" t="s">
        <v>82</v>
      </c>
      <c r="AA8" s="5" t="s">
        <v>35</v>
      </c>
    </row>
    <row r="9" spans="1:28" s="9" customFormat="1" x14ac:dyDescent="0.25">
      <c r="A9" s="5">
        <v>8</v>
      </c>
      <c r="B9" s="5" t="s">
        <v>83</v>
      </c>
      <c r="C9" s="31" t="s">
        <v>329</v>
      </c>
      <c r="D9" s="33">
        <v>8154717.7734000003</v>
      </c>
      <c r="E9" s="5" t="s">
        <v>84</v>
      </c>
      <c r="F9" s="5" t="s">
        <v>85</v>
      </c>
      <c r="H9" s="9" t="s">
        <v>86</v>
      </c>
      <c r="I9" s="5">
        <v>22198468305</v>
      </c>
      <c r="J9" s="15" t="s">
        <v>87</v>
      </c>
      <c r="K9" s="5" t="s">
        <v>88</v>
      </c>
      <c r="L9" s="9" t="s">
        <v>29</v>
      </c>
      <c r="M9" s="14">
        <v>30763</v>
      </c>
      <c r="N9" s="9" t="s">
        <v>30</v>
      </c>
      <c r="O9" s="16"/>
      <c r="P9" s="14"/>
      <c r="Q9" s="5"/>
      <c r="R9" s="5"/>
      <c r="S9" s="10">
        <f t="shared" si="0"/>
        <v>8154717.7734000003</v>
      </c>
      <c r="T9" s="10">
        <f t="shared" si="1"/>
        <v>82370.886599999998</v>
      </c>
      <c r="U9" s="10">
        <v>8237088.6600000001</v>
      </c>
      <c r="V9" s="5" t="s">
        <v>89</v>
      </c>
      <c r="W9" s="5" t="s">
        <v>32</v>
      </c>
      <c r="Y9" s="11" t="s">
        <v>90</v>
      </c>
      <c r="Z9" s="9" t="s">
        <v>91</v>
      </c>
      <c r="AA9" s="9" t="s">
        <v>92</v>
      </c>
    </row>
    <row r="10" spans="1:28" s="9" customFormat="1" x14ac:dyDescent="0.25">
      <c r="A10" s="5">
        <v>9</v>
      </c>
      <c r="B10" s="9" t="s">
        <v>93</v>
      </c>
      <c r="C10" s="31" t="s">
        <v>330</v>
      </c>
      <c r="D10" s="33">
        <v>5317627.3028999995</v>
      </c>
      <c r="E10" s="9" t="s">
        <v>94</v>
      </c>
      <c r="F10" s="9" t="s">
        <v>95</v>
      </c>
      <c r="G10" s="9" t="s">
        <v>96</v>
      </c>
      <c r="H10" s="9" t="s">
        <v>97</v>
      </c>
      <c r="I10" s="17">
        <v>22236878772</v>
      </c>
      <c r="J10" s="18" t="s">
        <v>98</v>
      </c>
      <c r="K10" s="9" t="s">
        <v>99</v>
      </c>
      <c r="L10" s="9" t="s">
        <v>29</v>
      </c>
      <c r="M10" s="19">
        <v>30388</v>
      </c>
      <c r="N10" s="9" t="s">
        <v>30</v>
      </c>
      <c r="O10" s="16"/>
      <c r="P10" s="14"/>
      <c r="Q10" s="5"/>
      <c r="R10" s="5"/>
      <c r="S10" s="10">
        <f t="shared" si="0"/>
        <v>5317627.3028999995</v>
      </c>
      <c r="T10" s="10">
        <f t="shared" si="1"/>
        <v>53713.407099999997</v>
      </c>
      <c r="U10" s="5">
        <f>VLOOKUP(B:B,'[1]detailedrsabalance (42)'!$B:$Z,25,0)</f>
        <v>5371340.71</v>
      </c>
      <c r="V10" s="5" t="s">
        <v>89</v>
      </c>
      <c r="W10" s="5" t="s">
        <v>32</v>
      </c>
      <c r="Y10" s="11" t="s">
        <v>90</v>
      </c>
      <c r="Z10" s="9" t="s">
        <v>100</v>
      </c>
      <c r="AA10" s="9" t="s">
        <v>101</v>
      </c>
    </row>
    <row r="11" spans="1:28" x14ac:dyDescent="0.25">
      <c r="A11" s="5">
        <v>10</v>
      </c>
      <c r="B11" s="5" t="s">
        <v>102</v>
      </c>
      <c r="C11" s="31" t="s">
        <v>331</v>
      </c>
      <c r="D11" s="33">
        <v>4155533.8703999999</v>
      </c>
      <c r="E11" s="5" t="s">
        <v>103</v>
      </c>
      <c r="F11" s="5" t="s">
        <v>104</v>
      </c>
      <c r="H11" s="9" t="s">
        <v>105</v>
      </c>
      <c r="I11" s="5">
        <v>22350537429</v>
      </c>
      <c r="J11" s="7" t="s">
        <v>106</v>
      </c>
      <c r="K11" s="5" t="s">
        <v>107</v>
      </c>
      <c r="L11" s="5" t="s">
        <v>29</v>
      </c>
      <c r="M11" s="19">
        <v>32766</v>
      </c>
      <c r="N11" s="9" t="s">
        <v>30</v>
      </c>
      <c r="S11" s="10">
        <f t="shared" si="0"/>
        <v>4155533.8703999999</v>
      </c>
      <c r="T11" s="10">
        <f t="shared" si="1"/>
        <v>41975.089599999999</v>
      </c>
      <c r="U11" s="10">
        <v>4197508.96</v>
      </c>
      <c r="V11" s="5" t="s">
        <v>89</v>
      </c>
      <c r="W11" s="5" t="s">
        <v>32</v>
      </c>
      <c r="Y11" s="11" t="s">
        <v>90</v>
      </c>
      <c r="Z11" s="9" t="s">
        <v>108</v>
      </c>
      <c r="AA11" s="9" t="s">
        <v>109</v>
      </c>
    </row>
    <row r="12" spans="1:28" x14ac:dyDescent="0.25">
      <c r="A12" s="5">
        <v>11</v>
      </c>
      <c r="B12" s="5" t="s">
        <v>110</v>
      </c>
      <c r="C12" s="31" t="s">
        <v>332</v>
      </c>
      <c r="D12" s="33">
        <v>3294795.3884999999</v>
      </c>
      <c r="E12" s="5" t="s">
        <v>111</v>
      </c>
      <c r="F12" s="5" t="s">
        <v>69</v>
      </c>
      <c r="G12" s="5" t="s">
        <v>112</v>
      </c>
      <c r="H12" s="9" t="s">
        <v>113</v>
      </c>
      <c r="I12" s="5">
        <v>22211855057</v>
      </c>
      <c r="J12" s="7" t="s">
        <v>114</v>
      </c>
      <c r="K12" s="5" t="s">
        <v>115</v>
      </c>
      <c r="L12" s="5" t="s">
        <v>64</v>
      </c>
      <c r="M12" s="14">
        <v>31526</v>
      </c>
      <c r="N12" s="9" t="s">
        <v>30</v>
      </c>
      <c r="S12" s="10">
        <f t="shared" si="0"/>
        <v>3294795.3884999999</v>
      </c>
      <c r="T12" s="10">
        <f t="shared" si="1"/>
        <v>33280.761500000001</v>
      </c>
      <c r="U12" s="10">
        <v>3328076.15</v>
      </c>
      <c r="V12" s="5" t="s">
        <v>89</v>
      </c>
      <c r="W12" s="5" t="s">
        <v>32</v>
      </c>
      <c r="Y12" s="11" t="s">
        <v>90</v>
      </c>
      <c r="Z12" s="9" t="s">
        <v>116</v>
      </c>
      <c r="AA12" s="9" t="s">
        <v>109</v>
      </c>
    </row>
    <row r="13" spans="1:28" x14ac:dyDescent="0.25">
      <c r="A13" s="9">
        <v>12</v>
      </c>
      <c r="B13" s="5" t="s">
        <v>117</v>
      </c>
      <c r="C13" s="31" t="s">
        <v>333</v>
      </c>
      <c r="D13" s="33">
        <v>8167615.9983000001</v>
      </c>
      <c r="E13" s="5" t="s">
        <v>118</v>
      </c>
      <c r="F13" s="5" t="s">
        <v>119</v>
      </c>
      <c r="G13" s="5" t="s">
        <v>120</v>
      </c>
      <c r="H13" s="9" t="s">
        <v>121</v>
      </c>
      <c r="I13" s="5">
        <v>22207200977</v>
      </c>
      <c r="J13" s="7" t="s">
        <v>122</v>
      </c>
      <c r="K13" s="5" t="s">
        <v>123</v>
      </c>
      <c r="L13" s="5" t="s">
        <v>29</v>
      </c>
      <c r="M13" s="14">
        <v>32631</v>
      </c>
      <c r="N13" s="9" t="s">
        <v>30</v>
      </c>
      <c r="S13" s="10">
        <f t="shared" si="0"/>
        <v>8167615.9983000001</v>
      </c>
      <c r="T13" s="10">
        <f t="shared" si="1"/>
        <v>82501.171700000006</v>
      </c>
      <c r="U13" s="5">
        <f>VLOOKUP(B:B,'[1]detailedrsabalance (42)'!$B:$Z,25,0)</f>
        <v>8250117.1699999999</v>
      </c>
      <c r="V13" s="5" t="s">
        <v>89</v>
      </c>
      <c r="W13" s="5" t="s">
        <v>32</v>
      </c>
      <c r="Y13" s="11" t="s">
        <v>90</v>
      </c>
      <c r="Z13" s="9" t="s">
        <v>124</v>
      </c>
      <c r="AA13" s="9" t="s">
        <v>101</v>
      </c>
    </row>
    <row r="14" spans="1:28" x14ac:dyDescent="0.25">
      <c r="A14" s="5">
        <v>13</v>
      </c>
      <c r="B14" s="5" t="s">
        <v>125</v>
      </c>
      <c r="C14" s="31" t="s">
        <v>334</v>
      </c>
      <c r="D14" s="33">
        <v>15074279.243099999</v>
      </c>
      <c r="E14" s="5" t="s">
        <v>126</v>
      </c>
      <c r="F14" s="5" t="s">
        <v>127</v>
      </c>
      <c r="G14" s="5" t="s">
        <v>128</v>
      </c>
      <c r="H14" s="9" t="s">
        <v>129</v>
      </c>
      <c r="I14" s="5">
        <v>22364803411</v>
      </c>
      <c r="J14" s="7" t="s">
        <v>130</v>
      </c>
      <c r="L14" s="5" t="s">
        <v>29</v>
      </c>
      <c r="M14" s="14">
        <v>32449</v>
      </c>
      <c r="N14" s="9" t="s">
        <v>30</v>
      </c>
      <c r="S14" s="10">
        <f t="shared" si="0"/>
        <v>15074279.243099999</v>
      </c>
      <c r="T14" s="10">
        <f t="shared" si="1"/>
        <v>152265.44689999998</v>
      </c>
      <c r="U14" s="5">
        <f>VLOOKUP(B:B,'[1]detailedrsabalance (42)'!$B:$Z,25,0)</f>
        <v>15226544.689999999</v>
      </c>
      <c r="V14" s="5" t="s">
        <v>131</v>
      </c>
      <c r="W14" s="5" t="s">
        <v>32</v>
      </c>
      <c r="Y14" s="11" t="s">
        <v>132</v>
      </c>
      <c r="Z14" s="5" t="s">
        <v>133</v>
      </c>
    </row>
    <row r="15" spans="1:28" x14ac:dyDescent="0.25">
      <c r="A15" s="5">
        <v>14</v>
      </c>
      <c r="B15" s="5" t="s">
        <v>134</v>
      </c>
      <c r="C15" s="31" t="s">
        <v>335</v>
      </c>
      <c r="D15" s="33">
        <v>13264045.7301</v>
      </c>
      <c r="E15" s="5" t="s">
        <v>135</v>
      </c>
      <c r="F15" s="5" t="s">
        <v>136</v>
      </c>
      <c r="G15" s="5" t="s">
        <v>137</v>
      </c>
      <c r="H15" s="20" t="s">
        <v>138</v>
      </c>
      <c r="I15" s="5">
        <v>22174495437</v>
      </c>
      <c r="J15" s="7" t="s">
        <v>139</v>
      </c>
      <c r="K15" s="5" t="s">
        <v>140</v>
      </c>
      <c r="L15" s="5" t="s">
        <v>29</v>
      </c>
      <c r="M15" s="14">
        <v>28525</v>
      </c>
      <c r="N15" s="5" t="s">
        <v>30</v>
      </c>
      <c r="P15" s="21">
        <v>13392493.710000001</v>
      </c>
      <c r="S15" s="10">
        <f t="shared" si="0"/>
        <v>13264045.7301</v>
      </c>
      <c r="T15" s="10">
        <f t="shared" si="1"/>
        <v>133980.2599</v>
      </c>
      <c r="U15" s="5">
        <f>VLOOKUP(B:B,'[1]detailedrsabalance (42)'!$B:$Z,25,0)</f>
        <v>13398025.99</v>
      </c>
      <c r="V15" s="5" t="s">
        <v>141</v>
      </c>
      <c r="Y15" s="5" t="s">
        <v>141</v>
      </c>
      <c r="Z15" s="20" t="s">
        <v>138</v>
      </c>
      <c r="AA15" s="5" t="s">
        <v>142</v>
      </c>
    </row>
    <row r="16" spans="1:28" x14ac:dyDescent="0.25">
      <c r="A16" s="5">
        <v>15</v>
      </c>
      <c r="B16" s="5" t="s">
        <v>143</v>
      </c>
      <c r="C16" s="31" t="s">
        <v>336</v>
      </c>
      <c r="D16" s="33">
        <v>4015024.5762</v>
      </c>
      <c r="E16" s="5" t="s">
        <v>144</v>
      </c>
      <c r="F16" s="5" t="s">
        <v>145</v>
      </c>
      <c r="G16" s="5" t="s">
        <v>146</v>
      </c>
      <c r="H16" s="20" t="s">
        <v>147</v>
      </c>
      <c r="I16" s="5">
        <v>22174923206</v>
      </c>
      <c r="J16" s="7" t="s">
        <v>148</v>
      </c>
      <c r="K16" s="5" t="s">
        <v>149</v>
      </c>
      <c r="L16" s="5" t="s">
        <v>29</v>
      </c>
      <c r="M16" s="14">
        <v>32108</v>
      </c>
      <c r="N16" s="5" t="s">
        <v>30</v>
      </c>
      <c r="P16" s="21">
        <v>4053905.76</v>
      </c>
      <c r="S16" s="10">
        <f t="shared" si="0"/>
        <v>4015024.5762</v>
      </c>
      <c r="T16" s="10">
        <f t="shared" si="1"/>
        <v>40555.803800000002</v>
      </c>
      <c r="U16" s="5">
        <f>VLOOKUP(B:B,'[1]detailedrsabalance (42)'!$B:$Z,25,0)</f>
        <v>4055580.38</v>
      </c>
      <c r="V16" s="5" t="s">
        <v>141</v>
      </c>
      <c r="Y16" s="5" t="s">
        <v>141</v>
      </c>
      <c r="Z16" s="20" t="s">
        <v>147</v>
      </c>
      <c r="AA16" s="5" t="s">
        <v>150</v>
      </c>
    </row>
    <row r="17" spans="1:27" x14ac:dyDescent="0.25">
      <c r="A17" s="5">
        <v>16</v>
      </c>
      <c r="B17" s="5" t="s">
        <v>151</v>
      </c>
      <c r="C17" s="31" t="s">
        <v>337</v>
      </c>
      <c r="D17" s="33">
        <v>25088261.853599999</v>
      </c>
      <c r="E17" s="5" t="s">
        <v>152</v>
      </c>
      <c r="F17" s="5" t="s">
        <v>153</v>
      </c>
      <c r="G17" s="5" t="s">
        <v>95</v>
      </c>
      <c r="H17" s="5" t="s">
        <v>154</v>
      </c>
      <c r="I17" s="6">
        <v>22215453019</v>
      </c>
      <c r="J17" s="7" t="s">
        <v>155</v>
      </c>
      <c r="K17" s="5" t="s">
        <v>156</v>
      </c>
      <c r="L17" s="5" t="s">
        <v>29</v>
      </c>
      <c r="M17" s="8" t="s">
        <v>157</v>
      </c>
      <c r="N17" s="9" t="s">
        <v>30</v>
      </c>
      <c r="S17" s="10">
        <f t="shared" si="0"/>
        <v>25088261.853599999</v>
      </c>
      <c r="T17" s="10">
        <f t="shared" si="1"/>
        <v>253416.78640000001</v>
      </c>
      <c r="U17" s="5">
        <f>VLOOKUP(B:B,'[1]detailedrsabalance (42)'!$B:$Z,25,0)</f>
        <v>25341678.640000001</v>
      </c>
      <c r="V17" s="5" t="s">
        <v>31</v>
      </c>
      <c r="W17" s="5" t="s">
        <v>32</v>
      </c>
      <c r="Y17" s="11" t="s">
        <v>33</v>
      </c>
      <c r="Z17" s="5" t="s">
        <v>158</v>
      </c>
      <c r="AA17" s="9" t="s">
        <v>35</v>
      </c>
    </row>
    <row r="18" spans="1:27" x14ac:dyDescent="0.25">
      <c r="A18" s="9">
        <v>17</v>
      </c>
      <c r="B18" s="5" t="s">
        <v>160</v>
      </c>
      <c r="C18" s="31" t="s">
        <v>338</v>
      </c>
      <c r="D18" s="33">
        <v>6946750.0080000004</v>
      </c>
      <c r="E18" s="5" t="s">
        <v>161</v>
      </c>
      <c r="F18" s="5" t="s">
        <v>162</v>
      </c>
      <c r="G18" s="5" t="s">
        <v>163</v>
      </c>
      <c r="H18" s="9" t="s">
        <v>164</v>
      </c>
      <c r="I18" s="5">
        <v>22316767471</v>
      </c>
      <c r="J18" s="5">
        <v>8168093892</v>
      </c>
      <c r="K18" s="5" t="s">
        <v>165</v>
      </c>
      <c r="L18" s="5" t="s">
        <v>29</v>
      </c>
      <c r="M18" s="14" t="s">
        <v>166</v>
      </c>
      <c r="N18" s="5" t="s">
        <v>30</v>
      </c>
      <c r="O18" s="5" t="s">
        <v>32</v>
      </c>
      <c r="P18" s="5" t="s">
        <v>167</v>
      </c>
      <c r="Q18" s="5" t="s">
        <v>30</v>
      </c>
      <c r="R18" s="14" t="s">
        <v>168</v>
      </c>
      <c r="S18" s="10">
        <f t="shared" si="0"/>
        <v>6946750.0080000004</v>
      </c>
      <c r="T18" s="10">
        <f t="shared" si="1"/>
        <v>70169.191999999995</v>
      </c>
      <c r="U18" s="10">
        <v>7016919.2000000002</v>
      </c>
      <c r="V18" s="5" t="s">
        <v>169</v>
      </c>
      <c r="Y18" s="5" t="s">
        <v>169</v>
      </c>
      <c r="Z18" s="9" t="s">
        <v>164</v>
      </c>
      <c r="AA18" s="5" t="s">
        <v>170</v>
      </c>
    </row>
    <row r="19" spans="1:27" x14ac:dyDescent="0.25">
      <c r="A19" s="5">
        <v>18</v>
      </c>
      <c r="B19" s="5" t="s">
        <v>171</v>
      </c>
      <c r="C19" s="31" t="s">
        <v>339</v>
      </c>
      <c r="D19" s="33">
        <v>5879989.3382999999</v>
      </c>
      <c r="E19" s="5" t="s">
        <v>161</v>
      </c>
      <c r="F19" s="5" t="s">
        <v>159</v>
      </c>
      <c r="G19" s="5" t="s">
        <v>172</v>
      </c>
      <c r="H19" s="9" t="s">
        <v>173</v>
      </c>
      <c r="I19" s="5">
        <v>22187543239</v>
      </c>
      <c r="J19" s="5">
        <v>9033793690</v>
      </c>
      <c r="K19" s="5" t="s">
        <v>174</v>
      </c>
      <c r="L19" s="5" t="s">
        <v>29</v>
      </c>
      <c r="M19" s="14" t="s">
        <v>175</v>
      </c>
      <c r="N19" s="5" t="s">
        <v>30</v>
      </c>
      <c r="O19" s="5" t="s">
        <v>32</v>
      </c>
      <c r="P19" s="5" t="s">
        <v>167</v>
      </c>
      <c r="Q19" s="5" t="s">
        <v>30</v>
      </c>
      <c r="R19" s="14">
        <v>46088</v>
      </c>
      <c r="S19" s="10">
        <f t="shared" si="0"/>
        <v>5879989.3382999999</v>
      </c>
      <c r="T19" s="10">
        <f t="shared" si="1"/>
        <v>59393.831700000002</v>
      </c>
      <c r="U19" s="10">
        <v>5939383.1699999999</v>
      </c>
      <c r="V19" s="5" t="s">
        <v>169</v>
      </c>
      <c r="Y19" s="5" t="s">
        <v>169</v>
      </c>
      <c r="Z19" s="9" t="s">
        <v>173</v>
      </c>
      <c r="AA19" s="5" t="s">
        <v>176</v>
      </c>
    </row>
    <row r="20" spans="1:27" s="9" customFormat="1" x14ac:dyDescent="0.25">
      <c r="A20" s="5">
        <v>19</v>
      </c>
      <c r="B20" s="9" t="s">
        <v>178</v>
      </c>
      <c r="C20" s="31" t="s">
        <v>340</v>
      </c>
      <c r="D20" s="33">
        <v>38079180.295199998</v>
      </c>
      <c r="E20" s="9" t="s">
        <v>179</v>
      </c>
      <c r="F20" s="9" t="s">
        <v>180</v>
      </c>
      <c r="G20" s="9" t="s">
        <v>181</v>
      </c>
      <c r="H20" s="9" t="s">
        <v>182</v>
      </c>
      <c r="I20" s="9">
        <v>22179827952</v>
      </c>
      <c r="J20" s="9">
        <v>8028411751</v>
      </c>
      <c r="K20" s="9" t="s">
        <v>183</v>
      </c>
      <c r="L20" s="9" t="s">
        <v>29</v>
      </c>
      <c r="M20" s="19">
        <v>26642</v>
      </c>
      <c r="N20" s="9" t="s">
        <v>30</v>
      </c>
      <c r="S20" s="10">
        <f t="shared" si="0"/>
        <v>38079180.295199998</v>
      </c>
      <c r="T20" s="10">
        <f t="shared" si="1"/>
        <v>384638.18479999999</v>
      </c>
      <c r="U20" s="5">
        <f>VLOOKUP(B:B,'[1]detailedrsabalance (42)'!$B:$Z,25,0)</f>
        <v>38463818.479999997</v>
      </c>
      <c r="Y20" s="9" t="s">
        <v>184</v>
      </c>
      <c r="Z20" s="9" t="s">
        <v>182</v>
      </c>
      <c r="AA20" s="9" t="s">
        <v>35</v>
      </c>
    </row>
    <row r="21" spans="1:27" x14ac:dyDescent="0.25">
      <c r="A21" s="5">
        <v>20</v>
      </c>
      <c r="B21" s="5" t="s">
        <v>185</v>
      </c>
      <c r="C21" s="31" t="s">
        <v>341</v>
      </c>
      <c r="D21" s="33">
        <v>8900231.818500001</v>
      </c>
      <c r="E21" s="5" t="s">
        <v>186</v>
      </c>
      <c r="F21" s="5" t="s">
        <v>153</v>
      </c>
      <c r="H21" s="9" t="s">
        <v>187</v>
      </c>
      <c r="I21" s="5">
        <v>22237015886</v>
      </c>
      <c r="J21" s="5">
        <v>8029010891</v>
      </c>
      <c r="K21" s="5" t="s">
        <v>188</v>
      </c>
      <c r="L21" s="5" t="s">
        <v>29</v>
      </c>
      <c r="M21" s="14">
        <v>27436</v>
      </c>
      <c r="N21" s="5" t="s">
        <v>30</v>
      </c>
      <c r="S21" s="10">
        <f t="shared" si="0"/>
        <v>8900231.818500001</v>
      </c>
      <c r="T21" s="10">
        <f t="shared" si="1"/>
        <v>89901.3315</v>
      </c>
      <c r="U21" s="5">
        <f>VLOOKUP(B:B,'[1]detailedrsabalance (42)'!$B:$Z,25,0)</f>
        <v>8990133.1500000004</v>
      </c>
      <c r="Y21" s="5" t="s">
        <v>177</v>
      </c>
      <c r="Z21" s="9" t="s">
        <v>187</v>
      </c>
      <c r="AA21" s="5" t="s">
        <v>35</v>
      </c>
    </row>
    <row r="22" spans="1:27" x14ac:dyDescent="0.25">
      <c r="A22" s="5">
        <v>21</v>
      </c>
      <c r="B22" s="5" t="s">
        <v>189</v>
      </c>
      <c r="C22" s="31" t="s">
        <v>342</v>
      </c>
      <c r="D22" s="33">
        <v>4941525.1050000004</v>
      </c>
      <c r="E22" s="5" t="s">
        <v>190</v>
      </c>
      <c r="F22" s="5" t="s">
        <v>191</v>
      </c>
      <c r="G22" s="5" t="s">
        <v>192</v>
      </c>
      <c r="H22" s="9" t="s">
        <v>193</v>
      </c>
      <c r="I22" s="5">
        <v>22251655385</v>
      </c>
      <c r="J22" s="5">
        <v>8028022604</v>
      </c>
      <c r="K22" s="5" t="s">
        <v>194</v>
      </c>
      <c r="L22" s="5" t="s">
        <v>64</v>
      </c>
      <c r="M22" s="14">
        <v>31634</v>
      </c>
      <c r="N22" s="5" t="s">
        <v>30</v>
      </c>
      <c r="S22" s="10">
        <f t="shared" si="0"/>
        <v>4941525.1050000004</v>
      </c>
      <c r="T22" s="10">
        <f t="shared" si="1"/>
        <v>49914.394999999997</v>
      </c>
      <c r="U22" s="5">
        <f>VLOOKUP(B:B,'[1]detailedrsabalance (42)'!$B:$Z,25,0)</f>
        <v>4991439.5</v>
      </c>
      <c r="Y22" s="5" t="s">
        <v>177</v>
      </c>
      <c r="Z22" s="9" t="s">
        <v>193</v>
      </c>
      <c r="AA22" s="5" t="s">
        <v>35</v>
      </c>
    </row>
    <row r="23" spans="1:27" x14ac:dyDescent="0.25">
      <c r="A23" s="9">
        <v>22</v>
      </c>
      <c r="B23" s="5" t="s">
        <v>195</v>
      </c>
      <c r="C23" s="31" t="s">
        <v>343</v>
      </c>
      <c r="D23" s="33">
        <v>7219984.4342999998</v>
      </c>
      <c r="E23" s="5" t="s">
        <v>196</v>
      </c>
      <c r="F23" s="5" t="s">
        <v>51</v>
      </c>
      <c r="H23" s="9" t="s">
        <v>197</v>
      </c>
      <c r="I23" s="5">
        <v>22227627123</v>
      </c>
      <c r="J23" s="5">
        <v>8036813453</v>
      </c>
      <c r="K23" s="5" t="s">
        <v>198</v>
      </c>
      <c r="L23" s="5" t="s">
        <v>64</v>
      </c>
      <c r="M23" s="5" t="s">
        <v>199</v>
      </c>
      <c r="N23" s="5" t="s">
        <v>200</v>
      </c>
      <c r="S23" s="10">
        <f t="shared" si="0"/>
        <v>7219984.4342999998</v>
      </c>
      <c r="T23" s="10">
        <f t="shared" si="1"/>
        <v>72929.135699999999</v>
      </c>
      <c r="U23" s="5">
        <f>VLOOKUP(B:B,'[1]detailedrsabalance (42)'!$B:$Z,25,0)</f>
        <v>7292913.5700000003</v>
      </c>
      <c r="Y23" s="5" t="s">
        <v>177</v>
      </c>
      <c r="Z23" s="5" t="s">
        <v>201</v>
      </c>
      <c r="AA23" s="5" t="s">
        <v>35</v>
      </c>
    </row>
    <row r="24" spans="1:27" x14ac:dyDescent="0.25">
      <c r="A24" s="5">
        <v>23</v>
      </c>
      <c r="B24" s="5" t="s">
        <v>202</v>
      </c>
      <c r="C24" s="31" t="s">
        <v>344</v>
      </c>
      <c r="D24" s="33">
        <v>5311721.6162999999</v>
      </c>
      <c r="E24" s="5" t="s">
        <v>203</v>
      </c>
      <c r="F24" s="5" t="s">
        <v>204</v>
      </c>
      <c r="H24" s="9" t="s">
        <v>205</v>
      </c>
      <c r="I24" s="5">
        <v>22216035306</v>
      </c>
      <c r="J24" s="5">
        <v>8037740704</v>
      </c>
      <c r="K24" s="5" t="s">
        <v>206</v>
      </c>
      <c r="L24" s="5" t="s">
        <v>29</v>
      </c>
      <c r="M24" s="14">
        <v>31758</v>
      </c>
      <c r="N24" s="5" t="s">
        <v>30</v>
      </c>
      <c r="S24" s="10">
        <f t="shared" si="0"/>
        <v>5311721.6162999999</v>
      </c>
      <c r="T24" s="10">
        <f t="shared" si="1"/>
        <v>53653.753700000001</v>
      </c>
      <c r="U24" s="5">
        <f>VLOOKUP(B:B,'[1]detailedrsabalance (42)'!$B:$Z,25,0)</f>
        <v>5365375.37</v>
      </c>
      <c r="Y24" s="5" t="s">
        <v>177</v>
      </c>
      <c r="Z24" s="5" t="s">
        <v>207</v>
      </c>
      <c r="AA24" s="5" t="s">
        <v>35</v>
      </c>
    </row>
    <row r="25" spans="1:27" x14ac:dyDescent="0.25">
      <c r="A25" s="5">
        <v>24</v>
      </c>
      <c r="B25" s="5" t="s">
        <v>208</v>
      </c>
      <c r="C25" s="31" t="s">
        <v>345</v>
      </c>
      <c r="D25" s="33">
        <v>16668795.904199999</v>
      </c>
      <c r="E25" s="5" t="s">
        <v>209</v>
      </c>
      <c r="F25" s="5" t="s">
        <v>210</v>
      </c>
      <c r="G25" s="5" t="s">
        <v>25</v>
      </c>
      <c r="H25" s="9" t="s">
        <v>211</v>
      </c>
      <c r="J25" s="5">
        <v>8065578679</v>
      </c>
      <c r="K25" s="5" t="s">
        <v>212</v>
      </c>
      <c r="L25" s="5" t="s">
        <v>29</v>
      </c>
      <c r="M25" s="5" t="s">
        <v>213</v>
      </c>
      <c r="N25" s="5" t="s">
        <v>30</v>
      </c>
      <c r="S25" s="10">
        <f t="shared" si="0"/>
        <v>16668795.904199999</v>
      </c>
      <c r="T25" s="10">
        <f t="shared" si="1"/>
        <v>168371.67579999997</v>
      </c>
      <c r="U25" s="5">
        <f>VLOOKUP(B:B,'[1]detailedrsabalance (42)'!$B:$Z,25,0)</f>
        <v>16837167.579999998</v>
      </c>
      <c r="Y25" s="5" t="s">
        <v>214</v>
      </c>
      <c r="Z25" s="9" t="s">
        <v>211</v>
      </c>
      <c r="AA25" s="5" t="s">
        <v>35</v>
      </c>
    </row>
    <row r="26" spans="1:27" x14ac:dyDescent="0.25">
      <c r="A26" s="5">
        <v>25</v>
      </c>
      <c r="B26" s="5" t="s">
        <v>215</v>
      </c>
      <c r="C26" s="31" t="s">
        <v>346</v>
      </c>
      <c r="D26" s="33">
        <v>2483016.2577</v>
      </c>
      <c r="E26" s="5" t="s">
        <v>216</v>
      </c>
      <c r="F26" s="5" t="s">
        <v>217</v>
      </c>
      <c r="G26" s="5" t="s">
        <v>218</v>
      </c>
      <c r="H26" s="9" t="s">
        <v>219</v>
      </c>
      <c r="I26" s="5">
        <v>22314289618</v>
      </c>
      <c r="J26" s="5">
        <v>8066374175</v>
      </c>
      <c r="K26" s="5" t="s">
        <v>220</v>
      </c>
      <c r="L26" s="5" t="s">
        <v>29</v>
      </c>
      <c r="M26" s="14">
        <v>32175</v>
      </c>
      <c r="N26" s="5" t="s">
        <v>221</v>
      </c>
      <c r="S26" s="10">
        <f t="shared" si="0"/>
        <v>2483016.2577</v>
      </c>
      <c r="T26" s="10">
        <f t="shared" si="1"/>
        <v>25080.972300000001</v>
      </c>
      <c r="U26" s="5">
        <f>VLOOKUP(B:B,'[1]detailedrsabalance (42)'!$B:$Z,25,0)</f>
        <v>2508097.23</v>
      </c>
      <c r="Y26" s="5" t="s">
        <v>177</v>
      </c>
      <c r="Z26" s="5" t="s">
        <v>222</v>
      </c>
      <c r="AA26" s="5" t="s">
        <v>35</v>
      </c>
    </row>
    <row r="27" spans="1:27" s="9" customFormat="1" x14ac:dyDescent="0.25">
      <c r="A27" s="5">
        <v>26</v>
      </c>
      <c r="B27" s="9" t="s">
        <v>223</v>
      </c>
      <c r="C27" s="31" t="s">
        <v>347</v>
      </c>
      <c r="D27" s="33">
        <v>13195814.900400002</v>
      </c>
      <c r="E27" s="9" t="s">
        <v>224</v>
      </c>
      <c r="F27" s="9" t="s">
        <v>225</v>
      </c>
      <c r="H27" s="9" t="s">
        <v>226</v>
      </c>
      <c r="I27" s="9">
        <v>22268764779</v>
      </c>
      <c r="J27" s="17">
        <v>8135578626</v>
      </c>
      <c r="K27" s="9" t="s">
        <v>227</v>
      </c>
      <c r="L27" s="9" t="s">
        <v>29</v>
      </c>
      <c r="M27" s="19">
        <v>25487</v>
      </c>
      <c r="N27" s="9" t="s">
        <v>167</v>
      </c>
      <c r="O27" s="17"/>
      <c r="R27" s="9" t="s">
        <v>228</v>
      </c>
      <c r="S27" s="10">
        <f t="shared" si="0"/>
        <v>13195814.900400002</v>
      </c>
      <c r="T27" s="10">
        <f t="shared" si="1"/>
        <v>133291.05960000001</v>
      </c>
      <c r="U27" s="5">
        <f>VLOOKUP(B:B,'[1]detailedrsabalance (42)'!$B:$Z,25,0)</f>
        <v>13329105.960000001</v>
      </c>
      <c r="Y27" s="9" t="s">
        <v>229</v>
      </c>
      <c r="Z27" s="9" t="s">
        <v>230</v>
      </c>
      <c r="AA27" s="5" t="s">
        <v>35</v>
      </c>
    </row>
    <row r="28" spans="1:27" s="9" customFormat="1" x14ac:dyDescent="0.25">
      <c r="A28" s="9">
        <v>27</v>
      </c>
      <c r="B28" s="9" t="s">
        <v>231</v>
      </c>
      <c r="C28" s="31" t="s">
        <v>348</v>
      </c>
      <c r="D28" s="33">
        <v>15107251.2426</v>
      </c>
      <c r="E28" s="9" t="s">
        <v>232</v>
      </c>
      <c r="F28" s="9" t="s">
        <v>233</v>
      </c>
      <c r="G28" s="9" t="s">
        <v>225</v>
      </c>
      <c r="H28" s="9" t="s">
        <v>234</v>
      </c>
      <c r="I28" s="9">
        <v>22289806285</v>
      </c>
      <c r="J28" s="17">
        <v>8035872212</v>
      </c>
      <c r="K28" s="9" t="s">
        <v>227</v>
      </c>
      <c r="L28" s="9" t="s">
        <v>64</v>
      </c>
      <c r="M28" s="19">
        <v>26496</v>
      </c>
      <c r="N28" s="9" t="s">
        <v>167</v>
      </c>
      <c r="O28" s="17"/>
      <c r="R28" s="9" t="s">
        <v>228</v>
      </c>
      <c r="S28" s="10">
        <f t="shared" si="0"/>
        <v>15107251.2426</v>
      </c>
      <c r="T28" s="10">
        <f t="shared" si="1"/>
        <v>152598.49739999999</v>
      </c>
      <c r="U28" s="5">
        <f>VLOOKUP(B:B,'[1]detailedrsabalance (42)'!$B:$Z,25,0)</f>
        <v>15259849.74</v>
      </c>
      <c r="Y28" s="9" t="s">
        <v>229</v>
      </c>
      <c r="Z28" s="9" t="s">
        <v>235</v>
      </c>
      <c r="AA28" s="5" t="s">
        <v>35</v>
      </c>
    </row>
    <row r="29" spans="1:27" s="9" customFormat="1" x14ac:dyDescent="0.25">
      <c r="A29" s="5">
        <v>28</v>
      </c>
      <c r="B29" s="9" t="s">
        <v>236</v>
      </c>
      <c r="C29" s="31" t="s">
        <v>349</v>
      </c>
      <c r="D29" s="33">
        <v>5297373.4176000003</v>
      </c>
      <c r="E29" s="9" t="s">
        <v>237</v>
      </c>
      <c r="F29" s="9" t="s">
        <v>238</v>
      </c>
      <c r="G29" s="9" t="s">
        <v>239</v>
      </c>
      <c r="H29" s="9" t="s">
        <v>240</v>
      </c>
      <c r="I29" s="9">
        <v>22174571683</v>
      </c>
      <c r="J29" s="17">
        <v>7062675682</v>
      </c>
      <c r="K29" s="9" t="s">
        <v>241</v>
      </c>
      <c r="L29" s="9" t="s">
        <v>29</v>
      </c>
      <c r="M29" s="19">
        <v>32141</v>
      </c>
      <c r="N29" s="9" t="s">
        <v>167</v>
      </c>
      <c r="O29" s="17"/>
      <c r="R29" s="9" t="s">
        <v>228</v>
      </c>
      <c r="S29" s="10">
        <f t="shared" si="0"/>
        <v>5297373.4176000003</v>
      </c>
      <c r="T29" s="10">
        <f t="shared" si="1"/>
        <v>53508.822400000005</v>
      </c>
      <c r="U29" s="5">
        <f>VLOOKUP(B:B,'[1]detailedrsabalance (42)'!$B:$Z,25,0)</f>
        <v>5350882.24</v>
      </c>
      <c r="Y29" s="9" t="s">
        <v>229</v>
      </c>
      <c r="Z29" s="9" t="s">
        <v>242</v>
      </c>
      <c r="AA29" s="5" t="s">
        <v>35</v>
      </c>
    </row>
    <row r="30" spans="1:27" s="24" customFormat="1" ht="13.9" customHeight="1" x14ac:dyDescent="0.25">
      <c r="A30" s="5">
        <v>29</v>
      </c>
      <c r="B30" s="22" t="s">
        <v>243</v>
      </c>
      <c r="C30" s="31" t="s">
        <v>350</v>
      </c>
      <c r="D30" s="33">
        <v>5027805.8226000005</v>
      </c>
      <c r="E30" s="22" t="s">
        <v>51</v>
      </c>
      <c r="F30" s="22" t="s">
        <v>244</v>
      </c>
      <c r="G30" s="22"/>
      <c r="H30" s="22" t="s">
        <v>245</v>
      </c>
      <c r="I30" s="22">
        <v>22249504659</v>
      </c>
      <c r="J30" s="22">
        <v>7030958129</v>
      </c>
      <c r="K30" s="22" t="s">
        <v>246</v>
      </c>
      <c r="L30" s="22" t="s">
        <v>167</v>
      </c>
      <c r="M30" s="23">
        <v>29481</v>
      </c>
      <c r="N30" s="22"/>
      <c r="O30" s="22"/>
      <c r="P30" s="22"/>
      <c r="Q30" s="22"/>
      <c r="R30" s="22"/>
      <c r="S30" s="10">
        <f t="shared" si="0"/>
        <v>5027805.8226000005</v>
      </c>
      <c r="T30" s="10">
        <f t="shared" si="1"/>
        <v>50785.917400000006</v>
      </c>
      <c r="U30" s="5">
        <f>VLOOKUP(B:B,'[1]detailedrsabalance (42)'!$B:$Z,25,0)</f>
        <v>5078591.74</v>
      </c>
      <c r="V30" s="22"/>
      <c r="W30" s="22"/>
      <c r="Y30" s="22" t="s">
        <v>247</v>
      </c>
      <c r="Z30" s="22" t="s">
        <v>248</v>
      </c>
      <c r="AA30" s="22" t="s">
        <v>249</v>
      </c>
    </row>
    <row r="31" spans="1:27" x14ac:dyDescent="0.25">
      <c r="A31" s="5">
        <v>30</v>
      </c>
      <c r="B31" s="9" t="s">
        <v>250</v>
      </c>
      <c r="C31" s="31" t="s">
        <v>351</v>
      </c>
      <c r="D31" s="33">
        <v>4614570.0414000005</v>
      </c>
      <c r="E31" s="9" t="s">
        <v>251</v>
      </c>
      <c r="F31" s="9" t="s">
        <v>153</v>
      </c>
      <c r="H31" s="9" t="s">
        <v>252</v>
      </c>
      <c r="I31" s="9">
        <v>22196612050</v>
      </c>
      <c r="J31" s="9">
        <v>8026263829</v>
      </c>
      <c r="K31" s="9" t="s">
        <v>253</v>
      </c>
      <c r="L31" s="9" t="s">
        <v>167</v>
      </c>
      <c r="M31" s="14">
        <v>29092</v>
      </c>
      <c r="S31" s="10">
        <f t="shared" si="0"/>
        <v>4614570.0414000005</v>
      </c>
      <c r="T31" s="10">
        <f t="shared" si="1"/>
        <v>46611.818600000006</v>
      </c>
      <c r="U31" s="5">
        <f>VLOOKUP(B:B,'[1]detailedrsabalance (42)'!$B:$Z,25,0)</f>
        <v>4661181.8600000003</v>
      </c>
      <c r="Y31" s="9" t="s">
        <v>169</v>
      </c>
      <c r="Z31" s="9" t="s">
        <v>254</v>
      </c>
      <c r="AA31" s="5" t="s">
        <v>255</v>
      </c>
    </row>
    <row r="32" spans="1:27" s="9" customFormat="1" x14ac:dyDescent="0.25">
      <c r="A32" s="5">
        <v>31</v>
      </c>
      <c r="B32" s="25" t="s">
        <v>256</v>
      </c>
      <c r="C32" s="31" t="s">
        <v>352</v>
      </c>
      <c r="D32" s="33">
        <v>6632458.9452000009</v>
      </c>
      <c r="E32" s="26" t="s">
        <v>257</v>
      </c>
      <c r="F32" s="26" t="s">
        <v>152</v>
      </c>
      <c r="G32" s="26" t="s">
        <v>258</v>
      </c>
      <c r="H32" s="9" t="s">
        <v>259</v>
      </c>
      <c r="I32" s="26">
        <v>22291624154</v>
      </c>
      <c r="J32" s="27" t="s">
        <v>260</v>
      </c>
      <c r="K32" s="26" t="s">
        <v>261</v>
      </c>
      <c r="L32" s="26" t="s">
        <v>29</v>
      </c>
      <c r="M32" s="28">
        <v>30004</v>
      </c>
      <c r="N32" s="26" t="s">
        <v>30</v>
      </c>
      <c r="O32" s="26"/>
      <c r="P32" s="26"/>
      <c r="Q32" s="26"/>
      <c r="R32" s="26"/>
      <c r="S32" s="10">
        <f t="shared" si="0"/>
        <v>6632458.9452000009</v>
      </c>
      <c r="T32" s="10">
        <f t="shared" si="1"/>
        <v>66994.534800000009</v>
      </c>
      <c r="U32" s="5">
        <f>VLOOKUP(B:B,'[1]detailedrsabalance (42)'!$B:$Z,25,0)</f>
        <v>6699453.4800000004</v>
      </c>
      <c r="V32" s="26"/>
      <c r="W32" s="26"/>
      <c r="Y32" s="26" t="s">
        <v>262</v>
      </c>
      <c r="Z32" s="26" t="s">
        <v>263</v>
      </c>
      <c r="AA32" s="5" t="s">
        <v>255</v>
      </c>
    </row>
    <row r="33" spans="1:27" s="9" customFormat="1" x14ac:dyDescent="0.25">
      <c r="A33" s="9">
        <v>32</v>
      </c>
      <c r="B33" s="26" t="s">
        <v>264</v>
      </c>
      <c r="C33" s="31" t="s">
        <v>353</v>
      </c>
      <c r="D33" s="33">
        <v>6400518.3593999995</v>
      </c>
      <c r="E33" s="26" t="s">
        <v>265</v>
      </c>
      <c r="F33" s="26" t="s">
        <v>266</v>
      </c>
      <c r="G33" s="26" t="s">
        <v>152</v>
      </c>
      <c r="H33" s="9" t="s">
        <v>267</v>
      </c>
      <c r="I33" s="26">
        <v>22187426747</v>
      </c>
      <c r="J33" s="27" t="s">
        <v>268</v>
      </c>
      <c r="K33" s="26" t="s">
        <v>269</v>
      </c>
      <c r="L33" s="26" t="s">
        <v>29</v>
      </c>
      <c r="M33" s="28">
        <v>29994</v>
      </c>
      <c r="N33" s="26" t="s">
        <v>30</v>
      </c>
      <c r="O33" s="26"/>
      <c r="P33" s="26"/>
      <c r="Q33" s="26"/>
      <c r="R33" s="26"/>
      <c r="S33" s="10">
        <f t="shared" si="0"/>
        <v>6400518.3593999995</v>
      </c>
      <c r="T33" s="10">
        <f t="shared" si="1"/>
        <v>64651.700599999996</v>
      </c>
      <c r="U33" s="5">
        <f>VLOOKUP(B:B,'[1]detailedrsabalance (42)'!$B:$Z,25,0)</f>
        <v>6465170.0599999996</v>
      </c>
      <c r="V33" s="26"/>
      <c r="W33" s="26"/>
      <c r="Y33" s="26" t="s">
        <v>262</v>
      </c>
      <c r="Z33" s="26" t="s">
        <v>270</v>
      </c>
      <c r="AA33" s="5" t="s">
        <v>255</v>
      </c>
    </row>
    <row r="34" spans="1:27" s="9" customFormat="1" x14ac:dyDescent="0.25">
      <c r="A34" s="5">
        <v>33</v>
      </c>
      <c r="B34" s="26" t="s">
        <v>271</v>
      </c>
      <c r="C34" s="31" t="s">
        <v>354</v>
      </c>
      <c r="D34" s="33">
        <v>4579681.0158000002</v>
      </c>
      <c r="E34" s="26" t="s">
        <v>272</v>
      </c>
      <c r="F34" s="26" t="s">
        <v>273</v>
      </c>
      <c r="G34" s="26"/>
      <c r="H34" s="9" t="s">
        <v>274</v>
      </c>
      <c r="I34" s="26">
        <v>22182550810</v>
      </c>
      <c r="J34" s="27" t="s">
        <v>275</v>
      </c>
      <c r="K34" s="26" t="s">
        <v>276</v>
      </c>
      <c r="L34" s="26" t="s">
        <v>29</v>
      </c>
      <c r="M34" s="29">
        <v>32508</v>
      </c>
      <c r="N34" s="26" t="s">
        <v>30</v>
      </c>
      <c r="O34" s="26"/>
      <c r="P34" s="26"/>
      <c r="Q34" s="26"/>
      <c r="R34" s="26"/>
      <c r="S34" s="10">
        <f t="shared" si="0"/>
        <v>4579681.0158000002</v>
      </c>
      <c r="T34" s="10">
        <f t="shared" si="1"/>
        <v>46259.404199999997</v>
      </c>
      <c r="U34" s="5">
        <f>VLOOKUP(B:B,'[1]detailedrsabalance (42)'!$B:$Z,25,0)</f>
        <v>4625940.42</v>
      </c>
      <c r="V34" s="26"/>
      <c r="W34" s="26"/>
      <c r="Y34" s="26" t="s">
        <v>262</v>
      </c>
      <c r="Z34" s="26" t="s">
        <v>277</v>
      </c>
      <c r="AA34" s="5" t="s">
        <v>255</v>
      </c>
    </row>
    <row r="35" spans="1:27" s="9" customFormat="1" x14ac:dyDescent="0.25">
      <c r="A35" s="5">
        <v>34</v>
      </c>
      <c r="B35" s="26" t="s">
        <v>278</v>
      </c>
      <c r="C35" s="31" t="s">
        <v>355</v>
      </c>
      <c r="D35" s="33">
        <v>5813850.4874999998</v>
      </c>
      <c r="E35" s="26" t="s">
        <v>279</v>
      </c>
      <c r="F35" s="26" t="s">
        <v>257</v>
      </c>
      <c r="G35" s="26"/>
      <c r="H35" s="9" t="s">
        <v>280</v>
      </c>
      <c r="I35" s="26">
        <v>22324000753</v>
      </c>
      <c r="J35" s="27" t="s">
        <v>281</v>
      </c>
      <c r="K35" s="26" t="s">
        <v>282</v>
      </c>
      <c r="L35" s="26" t="s">
        <v>29</v>
      </c>
      <c r="M35" s="29">
        <v>31972</v>
      </c>
      <c r="N35" s="26" t="s">
        <v>30</v>
      </c>
      <c r="O35" s="26"/>
      <c r="P35" s="26"/>
      <c r="Q35" s="26"/>
      <c r="R35" s="26"/>
      <c r="S35" s="10">
        <f t="shared" si="0"/>
        <v>5813850.4874999998</v>
      </c>
      <c r="T35" s="10">
        <f t="shared" si="1"/>
        <v>58725.762499999997</v>
      </c>
      <c r="U35" s="5">
        <f>VLOOKUP(B:B,'[1]detailedrsabalance (42)'!$B:$Z,25,0)</f>
        <v>5872576.25</v>
      </c>
      <c r="V35" s="26"/>
      <c r="W35" s="26"/>
      <c r="Y35" s="26" t="s">
        <v>262</v>
      </c>
      <c r="Z35" s="26" t="s">
        <v>283</v>
      </c>
      <c r="AA35" s="5" t="s">
        <v>255</v>
      </c>
    </row>
    <row r="36" spans="1:27" s="9" customFormat="1" x14ac:dyDescent="0.25">
      <c r="A36" s="5">
        <v>35</v>
      </c>
      <c r="B36" s="26" t="s">
        <v>284</v>
      </c>
      <c r="C36" s="31" t="s">
        <v>356</v>
      </c>
      <c r="D36" s="33">
        <v>7711263.1233000001</v>
      </c>
      <c r="E36" s="26" t="s">
        <v>285</v>
      </c>
      <c r="F36" s="26" t="s">
        <v>286</v>
      </c>
      <c r="G36" s="26" t="s">
        <v>287</v>
      </c>
      <c r="H36" s="9" t="s">
        <v>288</v>
      </c>
      <c r="I36" s="26">
        <v>22265222544</v>
      </c>
      <c r="J36" s="27" t="s">
        <v>289</v>
      </c>
      <c r="K36" s="26" t="s">
        <v>290</v>
      </c>
      <c r="L36" s="26" t="s">
        <v>64</v>
      </c>
      <c r="M36" s="29">
        <v>27465</v>
      </c>
      <c r="N36" s="26" t="s">
        <v>30</v>
      </c>
      <c r="O36" s="26"/>
      <c r="P36" s="26"/>
      <c r="Q36" s="26"/>
      <c r="R36" s="26"/>
      <c r="S36" s="10">
        <f t="shared" si="0"/>
        <v>7711263.1233000001</v>
      </c>
      <c r="T36" s="10">
        <f t="shared" si="1"/>
        <v>77891.546700000006</v>
      </c>
      <c r="U36" s="5">
        <f>VLOOKUP(B:B,'[1]detailedrsabalance (42)'!$B:$Z,25,0)</f>
        <v>7789154.6699999999</v>
      </c>
      <c r="V36" s="26"/>
      <c r="W36" s="26"/>
      <c r="Y36" s="26" t="s">
        <v>262</v>
      </c>
      <c r="Z36" s="26" t="s">
        <v>291</v>
      </c>
      <c r="AA36" s="5" t="s">
        <v>255</v>
      </c>
    </row>
    <row r="37" spans="1:27" s="9" customFormat="1" x14ac:dyDescent="0.25">
      <c r="A37" s="5">
        <v>36</v>
      </c>
      <c r="B37" s="26" t="s">
        <v>292</v>
      </c>
      <c r="C37" s="31" t="s">
        <v>357</v>
      </c>
      <c r="D37" s="33">
        <v>11370461.305499999</v>
      </c>
      <c r="E37" s="26" t="s">
        <v>293</v>
      </c>
      <c r="F37" s="26" t="s">
        <v>294</v>
      </c>
      <c r="G37" s="26"/>
      <c r="H37" s="9" t="s">
        <v>295</v>
      </c>
      <c r="I37" s="26">
        <v>22212318054</v>
      </c>
      <c r="J37" s="27" t="s">
        <v>296</v>
      </c>
      <c r="K37" s="26" t="s">
        <v>290</v>
      </c>
      <c r="L37" s="26" t="s">
        <v>64</v>
      </c>
      <c r="M37" s="29">
        <v>31039</v>
      </c>
      <c r="N37" s="26" t="s">
        <v>30</v>
      </c>
      <c r="O37" s="26"/>
      <c r="P37" s="26"/>
      <c r="Q37" s="26"/>
      <c r="R37" s="26"/>
      <c r="S37" s="10">
        <f t="shared" si="0"/>
        <v>11370461.305499999</v>
      </c>
      <c r="T37" s="10">
        <f t="shared" si="1"/>
        <v>114853.14449999999</v>
      </c>
      <c r="U37" s="5">
        <f>VLOOKUP(B:B,'[1]detailedrsabalance (42)'!$B:$Z,25,0)</f>
        <v>11485314.449999999</v>
      </c>
      <c r="V37" s="26"/>
      <c r="W37" s="26"/>
      <c r="Y37" s="26" t="s">
        <v>262</v>
      </c>
      <c r="Z37" s="26" t="s">
        <v>297</v>
      </c>
      <c r="AA37" s="5" t="s">
        <v>255</v>
      </c>
    </row>
    <row r="38" spans="1:27" s="9" customFormat="1" x14ac:dyDescent="0.25">
      <c r="A38" s="9">
        <v>37</v>
      </c>
      <c r="B38" s="26" t="s">
        <v>298</v>
      </c>
      <c r="C38" s="31" t="s">
        <v>358</v>
      </c>
      <c r="D38" s="33">
        <v>6938568.3114</v>
      </c>
      <c r="E38" s="26" t="s">
        <v>299</v>
      </c>
      <c r="F38" s="26" t="s">
        <v>300</v>
      </c>
      <c r="G38" s="26" t="s">
        <v>301</v>
      </c>
      <c r="H38" s="9" t="s">
        <v>302</v>
      </c>
      <c r="I38" s="26">
        <v>22212374854</v>
      </c>
      <c r="J38" s="27" t="s">
        <v>303</v>
      </c>
      <c r="K38" s="26" t="s">
        <v>304</v>
      </c>
      <c r="L38" s="26" t="s">
        <v>29</v>
      </c>
      <c r="M38" s="29">
        <v>32570</v>
      </c>
      <c r="N38" s="26" t="s">
        <v>30</v>
      </c>
      <c r="O38" s="26"/>
      <c r="P38" s="26"/>
      <c r="Q38" s="26"/>
      <c r="R38" s="26"/>
      <c r="S38" s="10">
        <f t="shared" si="0"/>
        <v>6938568.3114</v>
      </c>
      <c r="T38" s="10">
        <f t="shared" si="1"/>
        <v>70086.548600000009</v>
      </c>
      <c r="U38" s="5">
        <f>VLOOKUP(B:B,'[1]detailedrsabalance (42)'!$B:$Z,25,0)</f>
        <v>7008654.8600000003</v>
      </c>
      <c r="V38" s="26"/>
      <c r="W38" s="26"/>
      <c r="Y38" s="26" t="s">
        <v>262</v>
      </c>
      <c r="Z38" s="26" t="s">
        <v>305</v>
      </c>
      <c r="AA38" s="5" t="s">
        <v>255</v>
      </c>
    </row>
    <row r="39" spans="1:27" s="9" customFormat="1" x14ac:dyDescent="0.25">
      <c r="A39" s="5">
        <v>38</v>
      </c>
      <c r="B39" s="26" t="s">
        <v>306</v>
      </c>
      <c r="C39" s="31" t="s">
        <v>359</v>
      </c>
      <c r="D39" s="33">
        <v>6069165.7554000001</v>
      </c>
      <c r="E39" s="26" t="s">
        <v>307</v>
      </c>
      <c r="F39" s="26" t="s">
        <v>308</v>
      </c>
      <c r="G39" s="26"/>
      <c r="H39" s="9" t="s">
        <v>309</v>
      </c>
      <c r="I39" s="26">
        <v>22240790660</v>
      </c>
      <c r="J39" s="27" t="s">
        <v>310</v>
      </c>
      <c r="K39" s="26" t="s">
        <v>311</v>
      </c>
      <c r="L39" s="26" t="s">
        <v>29</v>
      </c>
      <c r="M39" s="28">
        <v>27834</v>
      </c>
      <c r="N39" s="26" t="s">
        <v>30</v>
      </c>
      <c r="O39" s="26"/>
      <c r="P39" s="26"/>
      <c r="Q39" s="26"/>
      <c r="R39" s="26"/>
      <c r="S39" s="10">
        <f t="shared" si="0"/>
        <v>6069165.7554000001</v>
      </c>
      <c r="T39" s="10">
        <f t="shared" si="1"/>
        <v>61304.704599999997</v>
      </c>
      <c r="U39" s="5">
        <f>VLOOKUP(B:B,'[1]detailedrsabalance (42)'!$B:$Z,25,0)</f>
        <v>6130470.46</v>
      </c>
      <c r="V39" s="26"/>
      <c r="W39" s="26"/>
      <c r="Y39" s="26" t="s">
        <v>262</v>
      </c>
      <c r="Z39" s="26" t="s">
        <v>312</v>
      </c>
      <c r="AA39" s="5" t="s">
        <v>255</v>
      </c>
    </row>
    <row r="40" spans="1:27" s="9" customFormat="1" ht="15.75" thickBot="1" x14ac:dyDescent="0.3">
      <c r="A40" s="5">
        <v>39</v>
      </c>
      <c r="B40" s="26" t="s">
        <v>313</v>
      </c>
      <c r="C40" s="31" t="s">
        <v>360</v>
      </c>
      <c r="D40" s="33">
        <v>2711404.6343999999</v>
      </c>
      <c r="E40" s="26" t="s">
        <v>314</v>
      </c>
      <c r="F40" s="26" t="s">
        <v>315</v>
      </c>
      <c r="G40" s="26"/>
      <c r="H40" s="9" t="s">
        <v>316</v>
      </c>
      <c r="I40" s="30">
        <v>22222277358</v>
      </c>
      <c r="J40" s="27" t="s">
        <v>317</v>
      </c>
      <c r="K40" s="26" t="s">
        <v>318</v>
      </c>
      <c r="L40" s="26" t="s">
        <v>29</v>
      </c>
      <c r="M40" s="28">
        <v>26665</v>
      </c>
      <c r="N40" s="26" t="s">
        <v>30</v>
      </c>
      <c r="O40" s="26"/>
      <c r="P40" s="26"/>
      <c r="Q40" s="26" t="s">
        <v>319</v>
      </c>
      <c r="R40" s="26"/>
      <c r="S40" s="10">
        <f t="shared" si="0"/>
        <v>2711404.6343999999</v>
      </c>
      <c r="T40" s="10">
        <f t="shared" si="1"/>
        <v>27387.925600000002</v>
      </c>
      <c r="U40" s="5">
        <f>VLOOKUP(B:B,'[1]detailedrsabalance (42)'!$B:$Z,25,0)</f>
        <v>2738792.56</v>
      </c>
      <c r="V40" s="26"/>
      <c r="W40" s="26"/>
      <c r="Y40" s="26" t="s">
        <v>262</v>
      </c>
      <c r="Z40" s="26" t="s">
        <v>320</v>
      </c>
      <c r="AA40" s="5" t="s">
        <v>255</v>
      </c>
    </row>
    <row r="235" spans="3:4" x14ac:dyDescent="0.25">
      <c r="C235" s="32"/>
      <c r="D235" s="34"/>
    </row>
  </sheetData>
  <pageMargins left="0.7" right="0.7" top="0.75" bottom="0.75" header="0.3" footer="0.3"/>
  <pageSetup paperSize="9" orientation="portrait" r:id="rId1"/>
  <headerFooter>
    <oddHeader>&amp;R&amp;"ROBOTO"&amp;10&amp;K008000PUBLIC&amp;1#</oddHeader>
    <oddFooter>&amp;L&amp;1#&amp;"ROBOTO"&amp;12&amp;K008000PUBLIC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Namadina Abubakar</dc:creator>
  <cp:lastModifiedBy>Bello A. Sulaimon</cp:lastModifiedBy>
  <dcterms:created xsi:type="dcterms:W3CDTF">2026-07-22T03:16:13Z</dcterms:created>
  <dcterms:modified xsi:type="dcterms:W3CDTF">2026-07-25T23:33:15Z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209f28-8b24-4ee4-b439-83cafe9276a0_Enabled">
    <vt:lpwstr>true</vt:lpwstr>
  </property>
  <property fmtid="{D5CDD505-2E9C-101B-9397-08002B2CF9AE}" pid="3" name="MSIP_Label_66209f28-8b24-4ee4-b439-83cafe9276a0_SetDate">
    <vt:lpwstr>2026-07-22T21:19:02Z</vt:lpwstr>
  </property>
  <property fmtid="{D5CDD505-2E9C-101B-9397-08002B2CF9AE}" pid="4" name="MSIP_Label_66209f28-8b24-4ee4-b439-83cafe9276a0_Method">
    <vt:lpwstr>Privileged</vt:lpwstr>
  </property>
  <property fmtid="{D5CDD505-2E9C-101B-9397-08002B2CF9AE}" pid="5" name="MSIP_Label_66209f28-8b24-4ee4-b439-83cafe9276a0_Name">
    <vt:lpwstr>Public</vt:lpwstr>
  </property>
  <property fmtid="{D5CDD505-2E9C-101B-9397-08002B2CF9AE}" pid="6" name="MSIP_Label_66209f28-8b24-4ee4-b439-83cafe9276a0_SiteId">
    <vt:lpwstr>ff88d62a-1b34-46b4-9a76-78090d69f0cb</vt:lpwstr>
  </property>
  <property fmtid="{D5CDD505-2E9C-101B-9397-08002B2CF9AE}" pid="7" name="MSIP_Label_66209f28-8b24-4ee4-b439-83cafe9276a0_ActionId">
    <vt:lpwstr>aa2db0fe-1547-486e-9657-a4add5652568</vt:lpwstr>
  </property>
  <property fmtid="{D5CDD505-2E9C-101B-9397-08002B2CF9AE}" pid="8" name="MSIP_Label_66209f28-8b24-4ee4-b439-83cafe9276a0_ContentBits">
    <vt:lpwstr>3</vt:lpwstr>
  </property>
</Properties>
</file>