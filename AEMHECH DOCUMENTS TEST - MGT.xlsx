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2" name="RUN" state="visible" r:id="rId4"/>
    <sheet sheetId="1" name="Sheet1" state="visible" r:id="rId5"/>
  </sheets>
  <definedNames>
    <definedName name="_xlnm._FilterDatabase">RUN!$A$1:$U$8</definedName>
  </definedNames>
  <calcPr calcId="171027"/>
</workbook>
</file>

<file path=xl/sharedStrings.xml><?xml version="1.0" encoding="utf-8"?>
<sst xmlns="http://schemas.openxmlformats.org/spreadsheetml/2006/main" count="101" uniqueCount="94">
  <si>
    <t>SN</t>
  </si>
  <si>
    <t>S/N</t>
  </si>
  <si>
    <t>ACCOUNT NUMBER</t>
  </si>
  <si>
    <t>ACCOUNT NAME</t>
  </si>
  <si>
    <t>PIN NUMBER</t>
  </si>
  <si>
    <t>BALANCE</t>
  </si>
  <si>
    <t>Purchase price</t>
  </si>
  <si>
    <t>Purchace Price Word</t>
  </si>
  <si>
    <t>Equity Contribution</t>
  </si>
  <si>
    <t>Equity Contr Word</t>
  </si>
  <si>
    <t>Forsale value</t>
  </si>
  <si>
    <t>Forsale value word</t>
  </si>
  <si>
    <t>Sum Insured</t>
  </si>
  <si>
    <t>Fire Insurance</t>
  </si>
  <si>
    <t>Credit Insurance</t>
  </si>
  <si>
    <t xml:space="preserve">Processing fee </t>
  </si>
  <si>
    <t>Address</t>
  </si>
  <si>
    <t>Next of KIN</t>
  </si>
  <si>
    <t>NIN</t>
  </si>
  <si>
    <t>BVN</t>
  </si>
  <si>
    <t>Phone</t>
  </si>
  <si>
    <t>DOB</t>
  </si>
  <si>
    <t>YEAR</t>
  </si>
  <si>
    <t>AGE</t>
  </si>
  <si>
    <t>EMPLOYER</t>
  </si>
  <si>
    <t>RESIDENTIAL ADDRESS</t>
  </si>
  <si>
    <t>Sgns</t>
  </si>
  <si>
    <t>1</t>
  </si>
  <si>
    <t>0001478232</t>
  </si>
  <si>
    <t>SUNDAY MARK DUNIYA</t>
  </si>
  <si>
    <t>PEN100907682416</t>
  </si>
  <si>
    <t>Two Million, Ninety-Five Thousand, Seventy-Eight Naira and Six Kobo</t>
  </si>
  <si>
    <t>One Million, Eight Hundred Ninety-Five Thousand, Seventy-Eight Naira and Six Kobo</t>
  </si>
  <si>
    <t>One Million, Seven Hundred Ninety-Five Thousand, Seventy-Eight Naira and Six Kobo</t>
  </si>
  <si>
    <t>NO13 DIVINE WISDOM STREET MOPOL QTRS MARARABA</t>
  </si>
  <si>
    <t>YUSUF MUHAMMED YUSUF</t>
  </si>
  <si>
    <t>40711564773</t>
  </si>
  <si>
    <t>22234587658</t>
  </si>
  <si>
    <t>08053119044</t>
  </si>
  <si>
    <t>2</t>
  </si>
  <si>
    <t>0001479198</t>
  </si>
  <si>
    <t>ABDULAZIZ AHMED ONIMISI</t>
  </si>
  <si>
    <t>PEN200779658725</t>
  </si>
  <si>
    <t>One Million, Three Hundred Ninety-Five Thousand, Twenty-Seven Naira and Twenty-Seven Kobo</t>
  </si>
  <si>
    <t>One Million, One Hundred Ninety-Five Thousand, Twenty-Seven Naira and Twenty-Seven Kobo</t>
  </si>
  <si>
    <t>One Million, Ninety-Five Thousand, Twenty-Seven Naira and Twenty-Seven Kobo</t>
  </si>
  <si>
    <t>IGALA CLOSE ADO JUNCTION NEW KARU</t>
  </si>
  <si>
    <t>MARYAM ISAH</t>
  </si>
  <si>
    <t>10091908996</t>
  </si>
  <si>
    <t>22285591253</t>
  </si>
  <si>
    <t>08022338839</t>
  </si>
  <si>
    <t>3</t>
  </si>
  <si>
    <t>0001479181</t>
  </si>
  <si>
    <t>ABDULKARIM MOHAMMED</t>
  </si>
  <si>
    <t>PEN100822790013</t>
  </si>
  <si>
    <t>Three Million, One Hundred Twenty Thousand, Seventy-Two Naira and Fifty-Nine Kobo</t>
  </si>
  <si>
    <t>Two Million, Nine Hundred Twenty Thousand, Seventy-Two Naira and Fifty-Nine Kobo</t>
  </si>
  <si>
    <t>Two Million, Eight Hundred Twenty Thousand, Seventy-Two Naira and Fifty-Nine Kobo</t>
  </si>
  <si>
    <t>UZO HOUSE KURU TOTO L.G.A NASSARAWA</t>
  </si>
  <si>
    <t>ABDULRAZAQ ZAINAB</t>
  </si>
  <si>
    <t>82419160436</t>
  </si>
  <si>
    <t>22304408287</t>
  </si>
  <si>
    <t>08031142388</t>
  </si>
  <si>
    <t>4</t>
  </si>
  <si>
    <t>0001479208</t>
  </si>
  <si>
    <t>ZARAU ALIYU NASSARAWA</t>
  </si>
  <si>
    <t>PEN100511748018</t>
  </si>
  <si>
    <t>One Million, Five Hundred Fifty-Six Thousand, Seven Hundred Seventy Naira and Seventy-Three Kobo</t>
  </si>
  <si>
    <t>One Million, Three Hundred Fifty-Six Thousand, Seven Hundred Seventy Naira and Seventy-Three Kobo</t>
  </si>
  <si>
    <t>One Million, Two Hundred Fifty-Six Thousand, Seven Hundred Seventy Naira and Seventy-Three Kobo</t>
  </si>
  <si>
    <t>NO 51 AKWANGA L.G.A RUGA STREET NASSARAWA</t>
  </si>
  <si>
    <t>UMAR ALI MADAKI</t>
  </si>
  <si>
    <t>21727519334</t>
  </si>
  <si>
    <t>22233764063</t>
  </si>
  <si>
    <t>08068142412</t>
  </si>
  <si>
    <t>PENSION NUMBER</t>
  </si>
  <si>
    <t>PRODUCTACCOUNTNUMBER</t>
  </si>
  <si>
    <t>RSA BAL</t>
  </si>
  <si>
    <t xml:space="preserve">First Name </t>
  </si>
  <si>
    <t xml:space="preserve">Last Name </t>
  </si>
  <si>
    <t xml:space="preserve">Middle Name </t>
  </si>
  <si>
    <t>NAME</t>
  </si>
  <si>
    <t>Phone Number</t>
  </si>
  <si>
    <t>Gender</t>
  </si>
  <si>
    <t>Date of birth</t>
  </si>
  <si>
    <t>Marital Status</t>
  </si>
  <si>
    <t>DATE OPENED</t>
  </si>
  <si>
    <t>sector</t>
  </si>
  <si>
    <t>NURBAN NO</t>
  </si>
  <si>
    <t>BRANCH NAME</t>
  </si>
  <si>
    <t>PRODUCT</t>
  </si>
  <si>
    <t>AGENT</t>
  </si>
  <si>
    <t>Next of Kins</t>
  </si>
  <si>
    <t>PFA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</si>
</sst>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family val="1"/>
      <sz val="10"/>
      <name val="Times New Roman"/>
    </font>
    <font>
      <b/>
      <family val="1"/>
      <sz val="10"/>
      <name val="Times New Roman"/>
    </font>
    <font>
      <b/>
      <color theme="9"/>
      <family val="1"/>
      <sz val="10"/>
      <name val="Times New Roman"/>
    </font>
    <font>
      <color theme="1"/>
      <family val="1"/>
      <sz val="12"/>
      <name val="Times New Roman"/>
    </font>
    <font>
      <color indexed="8"/>
      <family val="1"/>
      <sz val="10"/>
      <name val="Times New Roman"/>
    </font>
    <font>
      <color indexed="8"/>
      <family val="2"/>
      <scheme val="minor"/>
      <sz val="10"/>
      <name val="Calibri"/>
    </font>
    <font>
      <color rgb="FF000000"/>
      <sz val="11"/>
      <name val="Calibri"/>
    </font>
    <font>
      <color theme="1"/>
      <family val="2"/>
      <scheme val="minor"/>
      <sz val="10"/>
      <name val="Calibri"/>
    </font>
    <font>
      <color theme="1"/>
      <family val="1"/>
      <sz val="10"/>
      <name val="Times New Roman"/>
    </font>
    <font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theme="1"/>
      <family val="2"/>
      <scheme val="minor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E5E5E5"/>
      </right>
      <top/>
      <bottom style="medium">
        <color rgb="FFE5E5E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164" fontId="0" fillId="2" borderId="0" xfId="0" applyNumberFormat="1" applyFill="1"/>
    <xf numFmtId="0" fontId="0" fillId="2" borderId="0" xfId="0" applyFill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/>
    <xf numFmtId="0" fontId="5" fillId="0" borderId="0" xfId="0" applyFont="1"/>
    <xf numFmtId="0" fontId="6" fillId="0" borderId="1" xfId="0" applyFont="1" applyBorder="1"/>
    <xf numFmtId="0" fontId="3" fillId="0" borderId="2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4" fontId="2" fillId="0" borderId="1" xfId="0" applyNumberFormat="1" applyFont="1" applyBorder="1"/>
    <xf numFmtId="3" fontId="2" fillId="0" borderId="1" xfId="0" applyNumberFormat="1" applyFont="1" applyBorder="1"/>
    <xf numFmtId="4" fontId="2" fillId="0" borderId="0" xfId="0" applyNumberFormat="1" applyFont="1"/>
    <xf numFmtId="14" fontId="9" fillId="0" borderId="0" xfId="0" applyNumberFormat="1" applyFont="1" applyAlignment="1">
      <alignment horizontal="left"/>
    </xf>
    <xf numFmtId="0" fontId="10" fillId="0" borderId="1" xfId="0" applyFont="1" applyBorder="1"/>
    <xf numFmtId="4" fontId="10" fillId="0" borderId="1" xfId="0" applyNumberFormat="1" applyFont="1" applyBorder="1"/>
    <xf numFmtId="0" fontId="11" fillId="2" borderId="0" xfId="0" applyFont="1" applyFill="1"/>
    <xf numFmtId="14" fontId="9" fillId="0" borderId="0" xfId="0" applyNumberFormat="1" applyFont="1"/>
    <xf numFmtId="0" fontId="9" fillId="0" borderId="0" xfId="0" applyFont="1" applyAlignment="1">
      <alignment vertical="center" wrapText="1"/>
    </xf>
    <xf numFmtId="14" fontId="7" fillId="0" borderId="0" xfId="0" applyNumberFormat="1" applyFont="1"/>
    <xf numFmtId="0" fontId="9" fillId="0" borderId="0" xfId="0" applyFont="1" applyAlignment="1">
      <alignment horizontal="left"/>
    </xf>
    <xf numFmtId="0" fontId="7" fillId="0" borderId="1" xfId="0" applyFont="1" applyBorder="1"/>
    <xf numFmtId="0" fontId="9" fillId="0" borderId="1" xfId="0" applyFont="1" applyBorder="1"/>
    <xf numFmtId="14" fontId="11" fillId="2" borderId="1" xfId="0" applyNumberFormat="1" applyFont="1" applyFill="1" applyBorder="1"/>
    <xf numFmtId="14" fontId="7" fillId="0" borderId="1" xfId="0" applyNumberFormat="1" applyFont="1" applyBorder="1"/>
    <xf numFmtId="15" fontId="7" fillId="0" borderId="1" xfId="0" applyNumberFormat="1" applyFont="1" applyBorder="1"/>
    <xf numFmtId="49" fontId="8" fillId="0" borderId="0" xfId="0" applyNumberFormat="1" applyFont="1"/>
    <xf numFmtId="0" fontId="9" fillId="2" borderId="1" xfId="0" applyFont="1" applyFill="1" applyBorder="1"/>
    <xf numFmtId="0" fontId="12" fillId="2" borderId="1" xfId="0" applyFont="1" applyFill="1" applyBorder="1"/>
    <xf numFmtId="49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right"/>
    </xf>
    <xf numFmtId="49" fontId="9" fillId="0" borderId="0" xfId="0" applyNumberFormat="1" applyFont="1"/>
    <xf numFmtId="4" fontId="9" fillId="0" borderId="0" xfId="0" applyNumberFormat="1" applyFont="1"/>
    <xf numFmtId="0" fontId="12" fillId="0" borderId="0" xfId="0" applyFont="1"/>
    <xf numFmtId="49" fontId="9" fillId="0" borderId="0" xfId="0" applyNumberFormat="1" applyFont="1" applyAlignment="1">
      <alignment horizontal="left"/>
    </xf>
    <xf numFmtId="0" fontId="13" fillId="0" borderId="0" xfId="0" applyFont="1"/>
    <xf numFmtId="1" fontId="9" fillId="0" borderId="0" xfId="0" applyNumberFormat="1" applyFont="1"/>
    <xf numFmtId="0" fontId="7" fillId="3" borderId="0" xfId="0" applyFont="1" applyFill="1"/>
    <xf numFmtId="49" fontId="7" fillId="0" borderId="0" xfId="0" applyNumberFormat="1" applyFont="1"/>
    <xf numFmtId="0" fontId="9" fillId="2" borderId="0" xfId="0" applyFont="1" applyFill="1"/>
    <xf numFmtId="0" fontId="11" fillId="2" borderId="1" xfId="0" applyFont="1" applyFill="1" applyBorder="1"/>
    <xf numFmtId="49" fontId="7" fillId="0" borderId="1" xfId="0" applyNumberFormat="1" applyFont="1" applyBorder="1"/>
    <xf numFmtId="0" fontId="11" fillId="2" borderId="3" xfId="0" applyFont="1" applyFill="1" applyBorder="1" applyAlignment="1">
      <alignment vertical="center"/>
    </xf>
    <xf numFmtId="49" fontId="8" fillId="4" borderId="0" xfId="0" applyNumberFormat="1" applyFont="1" applyFill="1"/>
    <xf numFmtId="164" fontId="8" fillId="4" borderId="0" xfId="0" applyNumberFormat="1" applyFont="1" applyFill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5"/>
  <sheetViews>
    <sheetView workbookViewId="0" zoomScale="100" zoomScaleNormal="100">
      <selection activeCell="AA2" sqref="AA2"/>
    </sheetView>
  </sheetViews>
  <sheetFormatPr defaultRowHeight="15" outlineLevelRow="0" outlineLevelCol="0" x14ac:dyDescent="0.25" defaultColWidth="8.85546875"/>
  <cols>
    <col min="1" max="1" width="9" style="15" customWidth="1"/>
    <col min="2" max="2" width="18.28515625" style="15" customWidth="1"/>
    <col min="3" max="3" width="25.42578125" style="33" customWidth="1"/>
    <col min="4" max="4" width="20.140625" style="16" customWidth="1"/>
    <col min="5" max="7" width="8.85546875" style="15" customWidth="1"/>
    <col min="8" max="8" width="27.42578125" style="15" customWidth="1"/>
    <col min="9" max="9" width="12.140625" style="15" customWidth="1"/>
    <col min="10" max="10" width="12.85546875" style="15" customWidth="1"/>
    <col min="11" max="11" width="59.7109375" style="15" customWidth="1"/>
    <col min="12" max="12" width="8.85546875" style="15" customWidth="1"/>
    <col min="13" max="13" width="10.7109375" style="15" customWidth="1"/>
    <col min="14" max="15" width="8.85546875" style="15" customWidth="1"/>
    <col min="16" max="16" width="12.42578125" style="15" customWidth="1"/>
    <col min="17" max="17" width="8.85546875" style="15" customWidth="1"/>
    <col min="18" max="18" width="10.5703125" style="15" customWidth="1"/>
    <col min="19" max="19" width="11.28515625" style="15" customWidth="1"/>
    <col min="20" max="20" width="12.5703125" style="15" customWidth="1"/>
    <col min="21" max="21" width="19.85546875" style="15" customWidth="1"/>
    <col min="22" max="23" width="8.85546875" style="15" customWidth="1"/>
    <col min="24" max="24" width="29.85546875" style="15" customWidth="1"/>
    <col min="25" max="25" width="28.28515625" style="15" customWidth="1"/>
    <col min="26" max="27" width="18.5703125" style="15" customWidth="1"/>
    <col min="28" max="16384" width="8.85546875" style="15" customWidth="1"/>
  </cols>
  <sheetData>
    <row r="1" spans="1:28" s="34" customFormat="1" x14ac:dyDescent="0.25">
      <c r="A1" s="35" t="s">
        <v>1</v>
      </c>
      <c r="B1" s="35" t="s">
        <v>75</v>
      </c>
      <c r="C1" s="33" t="s">
        <v>76</v>
      </c>
      <c r="D1" s="16" t="s">
        <v>77</v>
      </c>
      <c r="E1" s="35" t="s">
        <v>78</v>
      </c>
      <c r="F1" s="35" t="s">
        <v>79</v>
      </c>
      <c r="G1" s="35" t="s">
        <v>80</v>
      </c>
      <c r="H1" s="35" t="s">
        <v>81</v>
      </c>
      <c r="I1" s="35" t="s">
        <v>19</v>
      </c>
      <c r="J1" s="36" t="s">
        <v>82</v>
      </c>
      <c r="K1" s="35" t="s">
        <v>16</v>
      </c>
      <c r="L1" s="35" t="s">
        <v>83</v>
      </c>
      <c r="M1" s="37" t="s">
        <v>84</v>
      </c>
      <c r="N1" s="35" t="s">
        <v>85</v>
      </c>
      <c r="O1" s="35" t="s">
        <v>2</v>
      </c>
      <c r="P1" s="35"/>
      <c r="Q1" s="35" t="s">
        <v>86</v>
      </c>
      <c r="R1" s="35" t="s">
        <v>87</v>
      </c>
      <c r="S1" s="35" t="s">
        <v>88</v>
      </c>
      <c r="T1" s="35" t="s">
        <v>77</v>
      </c>
      <c r="U1" s="35" t="s">
        <v>5</v>
      </c>
      <c r="V1" s="35"/>
      <c r="W1" s="35" t="s">
        <v>89</v>
      </c>
      <c r="X1" s="35" t="s">
        <v>90</v>
      </c>
      <c r="Y1" s="35" t="s">
        <v>91</v>
      </c>
      <c r="Z1" s="35" t="s">
        <v>92</v>
      </c>
      <c r="AA1" s="35" t="s">
        <v>93</v>
      </c>
      <c r="AB1" s="35" t="s">
        <v>93</v>
      </c>
    </row>
    <row r="2" spans="1:27" x14ac:dyDescent="0.25">
      <c r="A2" s="15"/>
      <c r="B2" s="15"/>
      <c r="C2" s="33"/>
      <c r="D2" s="16"/>
      <c r="E2" s="15"/>
      <c r="F2" s="15"/>
      <c r="G2" s="15"/>
      <c r="H2" s="15"/>
      <c r="I2" s="27"/>
      <c r="J2" s="38"/>
      <c r="K2" s="15"/>
      <c r="L2" s="15"/>
      <c r="M2" s="20"/>
      <c r="N2" s="13"/>
      <c r="O2" s="15"/>
      <c r="P2" s="15"/>
      <c r="Q2" s="15"/>
      <c r="R2" s="15"/>
      <c r="S2" s="39"/>
      <c r="T2" s="39"/>
      <c r="U2" s="15"/>
      <c r="V2" s="15"/>
      <c r="W2" s="15"/>
      <c r="X2" s="15"/>
      <c r="Y2" s="40"/>
      <c r="Z2" s="15"/>
      <c r="AA2" s="13"/>
    </row>
    <row r="3" spans="1:27" x14ac:dyDescent="0.25">
      <c r="A3" s="13"/>
      <c r="B3" s="15"/>
      <c r="C3" s="33"/>
      <c r="D3" s="16"/>
      <c r="E3" s="15"/>
      <c r="F3" s="15"/>
      <c r="G3" s="15"/>
      <c r="H3" s="15"/>
      <c r="I3" s="27"/>
      <c r="J3" s="41"/>
      <c r="K3" s="15"/>
      <c r="L3" s="15"/>
      <c r="M3" s="20"/>
      <c r="N3" s="15"/>
      <c r="O3" s="15"/>
      <c r="P3" s="15"/>
      <c r="Q3" s="15"/>
      <c r="R3" s="15"/>
      <c r="S3" s="39"/>
      <c r="T3" s="39"/>
      <c r="U3" s="39"/>
      <c r="V3" s="15"/>
      <c r="W3" s="15"/>
      <c r="X3" s="15"/>
      <c r="Y3" s="42"/>
      <c r="Z3" s="15"/>
      <c r="AA3" s="15"/>
    </row>
    <row r="4" spans="1:27" x14ac:dyDescent="0.25">
      <c r="A4" s="15"/>
      <c r="B4" s="15"/>
      <c r="C4" s="33"/>
      <c r="D4" s="16"/>
      <c r="E4" s="15"/>
      <c r="F4" s="15"/>
      <c r="G4" s="15"/>
      <c r="H4" s="15"/>
      <c r="I4" s="27"/>
      <c r="J4" s="41"/>
      <c r="K4" s="15"/>
      <c r="L4" s="15"/>
      <c r="M4" s="24"/>
      <c r="N4" s="15"/>
      <c r="O4" s="15"/>
      <c r="P4" s="15"/>
      <c r="Q4" s="15"/>
      <c r="R4" s="15"/>
      <c r="S4" s="39"/>
      <c r="T4" s="39"/>
      <c r="U4" s="15"/>
      <c r="V4" s="15"/>
      <c r="W4" s="15"/>
      <c r="X4" s="15"/>
      <c r="Y4" s="15"/>
      <c r="Z4" s="15"/>
      <c r="AA4" s="15"/>
    </row>
    <row r="5" spans="1:27" x14ac:dyDescent="0.25">
      <c r="A5" s="15"/>
      <c r="B5" s="15"/>
      <c r="C5" s="33"/>
      <c r="D5" s="16"/>
      <c r="E5" s="15"/>
      <c r="F5" s="15"/>
      <c r="G5" s="15"/>
      <c r="H5" s="15"/>
      <c r="I5" s="27"/>
      <c r="J5" s="38"/>
      <c r="K5" s="15"/>
      <c r="L5" s="15"/>
      <c r="M5" s="20"/>
      <c r="N5" s="15"/>
      <c r="O5" s="15"/>
      <c r="P5" s="15"/>
      <c r="Q5" s="15"/>
      <c r="R5" s="15"/>
      <c r="S5" s="39"/>
      <c r="T5" s="39"/>
      <c r="U5" s="15"/>
      <c r="V5" s="15"/>
      <c r="W5" s="15"/>
      <c r="X5" s="15"/>
      <c r="Y5" s="15"/>
      <c r="Z5" s="15"/>
      <c r="AA5" s="15"/>
    </row>
    <row r="6" spans="1:27" x14ac:dyDescent="0.25">
      <c r="A6" s="15"/>
      <c r="B6" s="15"/>
      <c r="C6" s="33"/>
      <c r="D6" s="16"/>
      <c r="E6" s="15"/>
      <c r="F6" s="15"/>
      <c r="G6" s="15"/>
      <c r="H6" s="15"/>
      <c r="I6" s="27"/>
      <c r="J6" s="38"/>
      <c r="K6" s="15"/>
      <c r="L6" s="15"/>
      <c r="M6" s="15"/>
      <c r="N6" s="15"/>
      <c r="O6" s="15"/>
      <c r="P6" s="15"/>
      <c r="Q6" s="15"/>
      <c r="R6" s="15"/>
      <c r="S6" s="39"/>
      <c r="T6" s="39"/>
      <c r="U6" s="15"/>
      <c r="V6" s="15"/>
      <c r="W6" s="15"/>
      <c r="X6" s="15"/>
      <c r="Y6" s="15"/>
      <c r="Z6" s="15"/>
      <c r="AA6" s="15"/>
    </row>
    <row r="7" spans="1:27" x14ac:dyDescent="0.25">
      <c r="A7" s="15"/>
      <c r="B7" s="15"/>
      <c r="C7" s="33"/>
      <c r="D7" s="16"/>
      <c r="E7" s="15"/>
      <c r="F7" s="15"/>
      <c r="G7" s="15"/>
      <c r="H7" s="15"/>
      <c r="I7" s="27"/>
      <c r="J7" s="38"/>
      <c r="K7" s="15"/>
      <c r="L7" s="15"/>
      <c r="M7" s="15"/>
      <c r="N7" s="15"/>
      <c r="O7" s="15"/>
      <c r="P7" s="15"/>
      <c r="Q7" s="15"/>
      <c r="R7" s="15"/>
      <c r="S7" s="39"/>
      <c r="T7" s="39"/>
      <c r="U7" s="15"/>
      <c r="V7" s="15"/>
      <c r="W7" s="15"/>
      <c r="X7" s="15"/>
      <c r="Y7" s="15"/>
      <c r="Z7" s="15"/>
      <c r="AA7" s="15"/>
    </row>
    <row r="8" spans="1:27" x14ac:dyDescent="0.25">
      <c r="A8" s="13"/>
      <c r="B8" s="15"/>
      <c r="C8" s="33"/>
      <c r="D8" s="16"/>
      <c r="E8" s="15"/>
      <c r="F8" s="15"/>
      <c r="G8" s="15"/>
      <c r="H8" s="15"/>
      <c r="I8" s="27"/>
      <c r="J8" s="38"/>
      <c r="K8" s="15"/>
      <c r="L8" s="15"/>
      <c r="M8" s="24"/>
      <c r="N8" s="15"/>
      <c r="O8" s="15"/>
      <c r="P8" s="15"/>
      <c r="Q8" s="15"/>
      <c r="R8" s="15"/>
      <c r="S8" s="39"/>
      <c r="T8" s="39"/>
      <c r="U8" s="15"/>
      <c r="V8" s="15"/>
      <c r="W8" s="15"/>
      <c r="X8" s="15"/>
      <c r="Y8" s="15"/>
      <c r="Z8" s="15"/>
      <c r="AA8" s="15"/>
    </row>
    <row r="9" spans="1:27" s="13" customFormat="1" x14ac:dyDescent="0.25">
      <c r="A9" s="15"/>
      <c r="B9" s="15"/>
      <c r="C9" s="33"/>
      <c r="D9" s="16"/>
      <c r="E9" s="15"/>
      <c r="F9" s="15"/>
      <c r="G9" s="13"/>
      <c r="H9" s="13"/>
      <c r="I9" s="15"/>
      <c r="J9" s="43"/>
      <c r="K9" s="15"/>
      <c r="L9" s="13"/>
      <c r="M9" s="24"/>
      <c r="N9" s="13"/>
      <c r="O9" s="44"/>
      <c r="P9" s="24"/>
      <c r="Q9" s="15"/>
      <c r="R9" s="15"/>
      <c r="S9" s="39"/>
      <c r="T9" s="39"/>
      <c r="U9" s="39"/>
      <c r="V9" s="15"/>
      <c r="W9" s="15"/>
      <c r="X9" s="13"/>
      <c r="Y9" s="40"/>
      <c r="Z9" s="13"/>
      <c r="AA9" s="13"/>
    </row>
    <row r="10" spans="1:27" s="13" customFormat="1" x14ac:dyDescent="0.25">
      <c r="A10" s="15"/>
      <c r="B10" s="13"/>
      <c r="C10" s="33"/>
      <c r="D10" s="16"/>
      <c r="E10" s="13"/>
      <c r="F10" s="13"/>
      <c r="G10" s="13"/>
      <c r="H10" s="13"/>
      <c r="I10" s="13"/>
      <c r="J10" s="45"/>
      <c r="K10" s="13"/>
      <c r="L10" s="13"/>
      <c r="M10" s="26"/>
      <c r="N10" s="13"/>
      <c r="O10" s="44"/>
      <c r="P10" s="24"/>
      <c r="Q10" s="15"/>
      <c r="R10" s="15"/>
      <c r="S10" s="39"/>
      <c r="T10" s="39"/>
      <c r="U10" s="15"/>
      <c r="V10" s="15"/>
      <c r="W10" s="15"/>
      <c r="X10" s="13"/>
      <c r="Y10" s="40"/>
      <c r="Z10" s="13"/>
      <c r="AA10" s="13"/>
    </row>
    <row r="11" spans="1:27" x14ac:dyDescent="0.25">
      <c r="A11" s="15"/>
      <c r="B11" s="15"/>
      <c r="C11" s="33"/>
      <c r="D11" s="16"/>
      <c r="E11" s="15"/>
      <c r="F11" s="15"/>
      <c r="G11" s="15"/>
      <c r="H11" s="13"/>
      <c r="I11" s="15"/>
      <c r="J11" s="38"/>
      <c r="K11" s="15"/>
      <c r="L11" s="15"/>
      <c r="M11" s="26"/>
      <c r="N11" s="13"/>
      <c r="O11" s="15"/>
      <c r="P11" s="15"/>
      <c r="Q11" s="15"/>
      <c r="R11" s="15"/>
      <c r="S11" s="39"/>
      <c r="T11" s="39"/>
      <c r="U11" s="39"/>
      <c r="V11" s="15"/>
      <c r="W11" s="15"/>
      <c r="X11" s="15"/>
      <c r="Y11" s="40"/>
      <c r="Z11" s="13"/>
      <c r="AA11" s="13"/>
    </row>
    <row r="12" spans="1:27" x14ac:dyDescent="0.25">
      <c r="A12" s="15"/>
      <c r="B12" s="15"/>
      <c r="C12" s="33"/>
      <c r="D12" s="16"/>
      <c r="E12" s="15"/>
      <c r="F12" s="15"/>
      <c r="G12" s="15"/>
      <c r="H12" s="13"/>
      <c r="I12" s="15"/>
      <c r="J12" s="38"/>
      <c r="K12" s="15"/>
      <c r="L12" s="15"/>
      <c r="M12" s="24"/>
      <c r="N12" s="13"/>
      <c r="O12" s="15"/>
      <c r="P12" s="15"/>
      <c r="Q12" s="15"/>
      <c r="R12" s="15"/>
      <c r="S12" s="39"/>
      <c r="T12" s="39"/>
      <c r="U12" s="39"/>
      <c r="V12" s="15"/>
      <c r="W12" s="15"/>
      <c r="X12" s="15"/>
      <c r="Y12" s="40"/>
      <c r="Z12" s="13"/>
      <c r="AA12" s="13"/>
    </row>
    <row r="13" spans="1:27" x14ac:dyDescent="0.25">
      <c r="A13" s="13"/>
      <c r="B13" s="15"/>
      <c r="C13" s="33"/>
      <c r="D13" s="16"/>
      <c r="E13" s="15"/>
      <c r="F13" s="15"/>
      <c r="G13" s="15"/>
      <c r="H13" s="13"/>
      <c r="I13" s="15"/>
      <c r="J13" s="38"/>
      <c r="K13" s="15"/>
      <c r="L13" s="15"/>
      <c r="M13" s="24"/>
      <c r="N13" s="13"/>
      <c r="O13" s="15"/>
      <c r="P13" s="15"/>
      <c r="Q13" s="15"/>
      <c r="R13" s="15"/>
      <c r="S13" s="39"/>
      <c r="T13" s="39"/>
      <c r="U13" s="15"/>
      <c r="V13" s="15"/>
      <c r="W13" s="15"/>
      <c r="X13" s="15"/>
      <c r="Y13" s="40"/>
      <c r="Z13" s="13"/>
      <c r="AA13" s="13"/>
    </row>
    <row r="14" spans="1:26" x14ac:dyDescent="0.25">
      <c r="A14" s="15"/>
      <c r="B14" s="15"/>
      <c r="C14" s="33"/>
      <c r="D14" s="16"/>
      <c r="E14" s="15"/>
      <c r="F14" s="15"/>
      <c r="G14" s="15"/>
      <c r="H14" s="13"/>
      <c r="I14" s="15"/>
      <c r="J14" s="38"/>
      <c r="K14" s="15"/>
      <c r="L14" s="15"/>
      <c r="M14" s="24"/>
      <c r="N14" s="13"/>
      <c r="O14" s="15"/>
      <c r="P14" s="15"/>
      <c r="Q14" s="15"/>
      <c r="R14" s="15"/>
      <c r="S14" s="39"/>
      <c r="T14" s="39"/>
      <c r="U14" s="15"/>
      <c r="V14" s="15"/>
      <c r="W14" s="15"/>
      <c r="X14" s="15"/>
      <c r="Y14" s="40"/>
      <c r="Z14" s="15"/>
    </row>
    <row r="15" spans="1:27" x14ac:dyDescent="0.25">
      <c r="A15" s="15"/>
      <c r="B15" s="15"/>
      <c r="C15" s="33"/>
      <c r="D15" s="16"/>
      <c r="E15" s="15"/>
      <c r="F15" s="15"/>
      <c r="G15" s="15"/>
      <c r="H15" s="15"/>
      <c r="I15" s="15"/>
      <c r="J15" s="38"/>
      <c r="K15" s="15"/>
      <c r="L15" s="15"/>
      <c r="M15" s="24"/>
      <c r="N15" s="15"/>
      <c r="O15" s="15"/>
      <c r="P15" s="39"/>
      <c r="Q15" s="15"/>
      <c r="R15" s="15"/>
      <c r="S15" s="39"/>
      <c r="T15" s="39"/>
      <c r="U15" s="15"/>
      <c r="V15" s="15"/>
      <c r="W15" s="15"/>
      <c r="X15" s="15"/>
      <c r="Y15" s="15"/>
      <c r="Z15" s="15"/>
      <c r="AA15" s="15"/>
    </row>
    <row r="16" spans="1:27" x14ac:dyDescent="0.25">
      <c r="A16" s="15"/>
      <c r="B16" s="15"/>
      <c r="C16" s="33"/>
      <c r="D16" s="16"/>
      <c r="E16" s="15"/>
      <c r="F16" s="15"/>
      <c r="G16" s="15"/>
      <c r="H16" s="15"/>
      <c r="I16" s="15"/>
      <c r="J16" s="38"/>
      <c r="K16" s="15"/>
      <c r="L16" s="15"/>
      <c r="M16" s="24"/>
      <c r="N16" s="15"/>
      <c r="O16" s="15"/>
      <c r="P16" s="39"/>
      <c r="Q16" s="15"/>
      <c r="R16" s="15"/>
      <c r="S16" s="39"/>
      <c r="T16" s="39"/>
      <c r="U16" s="15"/>
      <c r="V16" s="15"/>
      <c r="W16" s="15"/>
      <c r="X16" s="15"/>
      <c r="Y16" s="15"/>
      <c r="Z16" s="15"/>
      <c r="AA16" s="15"/>
    </row>
    <row r="17" spans="1:27" x14ac:dyDescent="0.25">
      <c r="A17" s="15"/>
      <c r="B17" s="15"/>
      <c r="C17" s="33"/>
      <c r="D17" s="16"/>
      <c r="E17" s="15"/>
      <c r="F17" s="15"/>
      <c r="G17" s="15"/>
      <c r="H17" s="15"/>
      <c r="I17" s="27"/>
      <c r="J17" s="38"/>
      <c r="K17" s="15"/>
      <c r="L17" s="15"/>
      <c r="M17" s="20"/>
      <c r="N17" s="13"/>
      <c r="O17" s="15"/>
      <c r="P17" s="15"/>
      <c r="Q17" s="15"/>
      <c r="R17" s="15"/>
      <c r="S17" s="39"/>
      <c r="T17" s="39"/>
      <c r="U17" s="15"/>
      <c r="V17" s="15"/>
      <c r="W17" s="15"/>
      <c r="X17" s="15"/>
      <c r="Y17" s="40"/>
      <c r="Z17" s="15"/>
      <c r="AA17" s="13"/>
    </row>
    <row r="18" spans="1:27" x14ac:dyDescent="0.25">
      <c r="A18" s="13"/>
      <c r="B18" s="15"/>
      <c r="C18" s="33"/>
      <c r="D18" s="16"/>
      <c r="E18" s="15"/>
      <c r="F18" s="15"/>
      <c r="G18" s="15"/>
      <c r="H18" s="13"/>
      <c r="I18" s="15"/>
      <c r="J18" s="15"/>
      <c r="K18" s="15"/>
      <c r="L18" s="15"/>
      <c r="M18" s="24"/>
      <c r="N18" s="15"/>
      <c r="O18" s="15"/>
      <c r="P18" s="15"/>
      <c r="Q18" s="15"/>
      <c r="R18" s="24"/>
      <c r="S18" s="39"/>
      <c r="T18" s="39"/>
      <c r="U18" s="39"/>
      <c r="V18" s="15"/>
      <c r="W18" s="15"/>
      <c r="X18" s="15"/>
      <c r="Y18" s="15"/>
      <c r="Z18" s="13"/>
      <c r="AA18" s="15"/>
    </row>
    <row r="19" spans="1:27" x14ac:dyDescent="0.25">
      <c r="A19" s="15"/>
      <c r="B19" s="15"/>
      <c r="C19" s="33"/>
      <c r="D19" s="16"/>
      <c r="E19" s="15"/>
      <c r="F19" s="15"/>
      <c r="G19" s="15"/>
      <c r="H19" s="13"/>
      <c r="I19" s="15"/>
      <c r="J19" s="15"/>
      <c r="K19" s="15"/>
      <c r="L19" s="15"/>
      <c r="M19" s="24"/>
      <c r="N19" s="15"/>
      <c r="O19" s="15"/>
      <c r="P19" s="15"/>
      <c r="Q19" s="15"/>
      <c r="R19" s="24"/>
      <c r="S19" s="39"/>
      <c r="T19" s="39"/>
      <c r="U19" s="39"/>
      <c r="V19" s="15"/>
      <c r="W19" s="15"/>
      <c r="X19" s="15"/>
      <c r="Y19" s="15"/>
      <c r="Z19" s="13"/>
      <c r="AA19" s="15"/>
    </row>
    <row r="20" spans="1:27" s="13" customFormat="1" x14ac:dyDescent="0.25">
      <c r="A20" s="15"/>
      <c r="B20" s="13"/>
      <c r="C20" s="33"/>
      <c r="D20" s="16"/>
      <c r="E20" s="13"/>
      <c r="F20" s="13"/>
      <c r="G20" s="13"/>
      <c r="H20" s="13"/>
      <c r="I20" s="13"/>
      <c r="J20" s="13"/>
      <c r="K20" s="13"/>
      <c r="L20" s="13"/>
      <c r="M20" s="26"/>
      <c r="N20" s="13"/>
      <c r="O20" s="13"/>
      <c r="P20" s="13"/>
      <c r="Q20" s="13"/>
      <c r="R20" s="13"/>
      <c r="S20" s="39"/>
      <c r="T20" s="39"/>
      <c r="U20" s="15"/>
      <c r="V20" s="13"/>
      <c r="W20" s="13"/>
      <c r="X20" s="13"/>
      <c r="Y20" s="13"/>
      <c r="Z20" s="13"/>
      <c r="AA20" s="13"/>
    </row>
    <row r="21" spans="1:27" x14ac:dyDescent="0.25">
      <c r="A21" s="15"/>
      <c r="B21" s="15"/>
      <c r="C21" s="33"/>
      <c r="D21" s="16"/>
      <c r="E21" s="15"/>
      <c r="F21" s="15"/>
      <c r="G21" s="15"/>
      <c r="H21" s="13"/>
      <c r="I21" s="15"/>
      <c r="J21" s="15"/>
      <c r="K21" s="15"/>
      <c r="L21" s="15"/>
      <c r="M21" s="24"/>
      <c r="N21" s="15"/>
      <c r="O21" s="15"/>
      <c r="P21" s="15"/>
      <c r="Q21" s="15"/>
      <c r="R21" s="15"/>
      <c r="S21" s="39"/>
      <c r="T21" s="39"/>
      <c r="U21" s="15"/>
      <c r="V21" s="15"/>
      <c r="W21" s="15"/>
      <c r="X21" s="15"/>
      <c r="Y21" s="15"/>
      <c r="Z21" s="13"/>
      <c r="AA21" s="15"/>
    </row>
    <row r="22" spans="1:27" x14ac:dyDescent="0.25">
      <c r="A22" s="15"/>
      <c r="B22" s="15"/>
      <c r="C22" s="33"/>
      <c r="D22" s="16"/>
      <c r="E22" s="15"/>
      <c r="F22" s="15"/>
      <c r="G22" s="15"/>
      <c r="H22" s="13"/>
      <c r="I22" s="15"/>
      <c r="J22" s="15"/>
      <c r="K22" s="15"/>
      <c r="L22" s="15"/>
      <c r="M22" s="24"/>
      <c r="N22" s="15"/>
      <c r="O22" s="15"/>
      <c r="P22" s="15"/>
      <c r="Q22" s="15"/>
      <c r="R22" s="15"/>
      <c r="S22" s="39"/>
      <c r="T22" s="39"/>
      <c r="U22" s="15"/>
      <c r="V22" s="15"/>
      <c r="W22" s="15"/>
      <c r="X22" s="15"/>
      <c r="Y22" s="15"/>
      <c r="Z22" s="13"/>
      <c r="AA22" s="15"/>
    </row>
    <row r="23" spans="1:27" x14ac:dyDescent="0.25">
      <c r="A23" s="13"/>
      <c r="B23" s="15"/>
      <c r="C23" s="33"/>
      <c r="D23" s="16"/>
      <c r="E23" s="15"/>
      <c r="F23" s="15"/>
      <c r="G23" s="15"/>
      <c r="H23" s="13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39"/>
      <c r="T23" s="39"/>
      <c r="U23" s="15"/>
      <c r="V23" s="15"/>
      <c r="W23" s="15"/>
      <c r="X23" s="15"/>
      <c r="Y23" s="15"/>
      <c r="Z23" s="15"/>
      <c r="AA23" s="15"/>
    </row>
    <row r="24" spans="1:27" x14ac:dyDescent="0.25">
      <c r="A24" s="15"/>
      <c r="B24" s="15"/>
      <c r="C24" s="33"/>
      <c r="D24" s="16"/>
      <c r="E24" s="15"/>
      <c r="F24" s="15"/>
      <c r="G24" s="15"/>
      <c r="H24" s="13"/>
      <c r="I24" s="15"/>
      <c r="J24" s="15"/>
      <c r="K24" s="15"/>
      <c r="L24" s="15"/>
      <c r="M24" s="24"/>
      <c r="N24" s="15"/>
      <c r="O24" s="15"/>
      <c r="P24" s="15"/>
      <c r="Q24" s="15"/>
      <c r="R24" s="15"/>
      <c r="S24" s="39"/>
      <c r="T24" s="39"/>
      <c r="U24" s="15"/>
      <c r="V24" s="15"/>
      <c r="W24" s="15"/>
      <c r="X24" s="15"/>
      <c r="Y24" s="15"/>
      <c r="Z24" s="15"/>
      <c r="AA24" s="15"/>
    </row>
    <row r="25" spans="1:27" x14ac:dyDescent="0.25">
      <c r="A25" s="15"/>
      <c r="B25" s="15"/>
      <c r="C25" s="33"/>
      <c r="D25" s="16"/>
      <c r="E25" s="15"/>
      <c r="F25" s="15"/>
      <c r="G25" s="15"/>
      <c r="H25" s="13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39"/>
      <c r="T25" s="39"/>
      <c r="U25" s="15"/>
      <c r="V25" s="15"/>
      <c r="W25" s="15"/>
      <c r="X25" s="15"/>
      <c r="Y25" s="15"/>
      <c r="Z25" s="13"/>
      <c r="AA25" s="15"/>
    </row>
    <row r="26" spans="1:27" x14ac:dyDescent="0.25">
      <c r="A26" s="15"/>
      <c r="B26" s="15"/>
      <c r="C26" s="33"/>
      <c r="D26" s="16"/>
      <c r="E26" s="15"/>
      <c r="F26" s="15"/>
      <c r="G26" s="15"/>
      <c r="H26" s="13"/>
      <c r="I26" s="15"/>
      <c r="J26" s="15"/>
      <c r="K26" s="15"/>
      <c r="L26" s="15"/>
      <c r="M26" s="24"/>
      <c r="N26" s="15"/>
      <c r="O26" s="15"/>
      <c r="P26" s="15"/>
      <c r="Q26" s="15"/>
      <c r="R26" s="15"/>
      <c r="S26" s="39"/>
      <c r="T26" s="39"/>
      <c r="U26" s="15"/>
      <c r="V26" s="15"/>
      <c r="W26" s="15"/>
      <c r="X26" s="15"/>
      <c r="Y26" s="15"/>
      <c r="Z26" s="15"/>
      <c r="AA26" s="15"/>
    </row>
    <row r="27" spans="1:27" s="13" customFormat="1" x14ac:dyDescent="0.25">
      <c r="A27" s="15"/>
      <c r="B27" s="13"/>
      <c r="C27" s="33"/>
      <c r="D27" s="16"/>
      <c r="E27" s="13"/>
      <c r="F27" s="13"/>
      <c r="G27" s="13"/>
      <c r="H27" s="13"/>
      <c r="I27" s="13"/>
      <c r="J27" s="13"/>
      <c r="K27" s="13"/>
      <c r="L27" s="13"/>
      <c r="M27" s="26"/>
      <c r="N27" s="13"/>
      <c r="O27" s="13"/>
      <c r="P27" s="13"/>
      <c r="Q27" s="13"/>
      <c r="R27" s="13"/>
      <c r="S27" s="39"/>
      <c r="T27" s="39"/>
      <c r="U27" s="15"/>
      <c r="V27" s="13"/>
      <c r="W27" s="13"/>
      <c r="X27" s="13"/>
      <c r="Y27" s="13"/>
      <c r="Z27" s="13"/>
      <c r="AA27" s="15"/>
    </row>
    <row r="28" spans="1:27" s="13" customFormat="1" x14ac:dyDescent="0.25">
      <c r="A28" s="13"/>
      <c r="B28" s="13"/>
      <c r="C28" s="33"/>
      <c r="D28" s="16"/>
      <c r="E28" s="13"/>
      <c r="F28" s="13"/>
      <c r="G28" s="13"/>
      <c r="H28" s="13"/>
      <c r="I28" s="13"/>
      <c r="J28" s="13"/>
      <c r="K28" s="13"/>
      <c r="L28" s="13"/>
      <c r="M28" s="26"/>
      <c r="N28" s="13"/>
      <c r="O28" s="13"/>
      <c r="P28" s="13"/>
      <c r="Q28" s="13"/>
      <c r="R28" s="13"/>
      <c r="S28" s="39"/>
      <c r="T28" s="39"/>
      <c r="U28" s="15"/>
      <c r="V28" s="13"/>
      <c r="W28" s="13"/>
      <c r="X28" s="13"/>
      <c r="Y28" s="13"/>
      <c r="Z28" s="13"/>
      <c r="AA28" s="15"/>
    </row>
    <row r="29" spans="1:27" s="13" customFormat="1" x14ac:dyDescent="0.25">
      <c r="A29" s="15"/>
      <c r="B29" s="13"/>
      <c r="C29" s="33"/>
      <c r="D29" s="16"/>
      <c r="E29" s="13"/>
      <c r="F29" s="13"/>
      <c r="G29" s="13"/>
      <c r="H29" s="13"/>
      <c r="I29" s="13"/>
      <c r="J29" s="13"/>
      <c r="K29" s="13"/>
      <c r="L29" s="13"/>
      <c r="M29" s="26"/>
      <c r="N29" s="13"/>
      <c r="O29" s="13"/>
      <c r="P29" s="13"/>
      <c r="Q29" s="13"/>
      <c r="R29" s="13"/>
      <c r="S29" s="39"/>
      <c r="T29" s="39"/>
      <c r="U29" s="15"/>
      <c r="V29" s="13"/>
      <c r="W29" s="13"/>
      <c r="X29" s="13"/>
      <c r="Y29" s="13"/>
      <c r="Z29" s="13"/>
      <c r="AA29" s="15"/>
    </row>
    <row r="30" ht="13.9" customHeight="1" spans="1:27" s="46" customFormat="1" x14ac:dyDescent="0.25">
      <c r="A30" s="15"/>
      <c r="B30" s="47"/>
      <c r="C30" s="33"/>
      <c r="D30" s="16"/>
      <c r="E30" s="47"/>
      <c r="F30" s="47"/>
      <c r="G30" s="47"/>
      <c r="H30" s="47"/>
      <c r="I30" s="47"/>
      <c r="J30" s="47"/>
      <c r="K30" s="47"/>
      <c r="L30" s="47"/>
      <c r="M30" s="30"/>
      <c r="N30" s="47"/>
      <c r="O30" s="47"/>
      <c r="P30" s="47"/>
      <c r="Q30" s="47"/>
      <c r="R30" s="47"/>
      <c r="S30" s="39"/>
      <c r="T30" s="39"/>
      <c r="U30" s="15"/>
      <c r="V30" s="47"/>
      <c r="W30" s="47"/>
      <c r="X30" s="46"/>
      <c r="Y30" s="47"/>
      <c r="Z30" s="47"/>
      <c r="AA30" s="47"/>
    </row>
    <row r="31" spans="1:27" x14ac:dyDescent="0.25">
      <c r="A31" s="15"/>
      <c r="B31" s="13"/>
      <c r="C31" s="33"/>
      <c r="D31" s="16"/>
      <c r="E31" s="13"/>
      <c r="F31" s="13"/>
      <c r="G31" s="15"/>
      <c r="H31" s="13"/>
      <c r="I31" s="13"/>
      <c r="J31" s="13"/>
      <c r="K31" s="13"/>
      <c r="L31" s="13"/>
      <c r="M31" s="24"/>
      <c r="N31" s="15"/>
      <c r="O31" s="15"/>
      <c r="P31" s="15"/>
      <c r="Q31" s="15"/>
      <c r="R31" s="15"/>
      <c r="S31" s="39"/>
      <c r="T31" s="39"/>
      <c r="U31" s="15"/>
      <c r="V31" s="15"/>
      <c r="W31" s="15"/>
      <c r="X31" s="15"/>
      <c r="Y31" s="13"/>
      <c r="Z31" s="13"/>
      <c r="AA31" s="15"/>
    </row>
    <row r="32" spans="1:27" s="13" customFormat="1" x14ac:dyDescent="0.25">
      <c r="A32" s="15"/>
      <c r="B32" s="25"/>
      <c r="C32" s="33"/>
      <c r="D32" s="16"/>
      <c r="E32" s="28"/>
      <c r="F32" s="28"/>
      <c r="G32" s="28"/>
      <c r="H32" s="13"/>
      <c r="I32" s="28"/>
      <c r="J32" s="48"/>
      <c r="K32" s="28"/>
      <c r="L32" s="28"/>
      <c r="M32" s="31"/>
      <c r="N32" s="28"/>
      <c r="O32" s="28"/>
      <c r="P32" s="28"/>
      <c r="Q32" s="28"/>
      <c r="R32" s="28"/>
      <c r="S32" s="39"/>
      <c r="T32" s="39"/>
      <c r="U32" s="15"/>
      <c r="V32" s="28"/>
      <c r="W32" s="28"/>
      <c r="X32" s="13"/>
      <c r="Y32" s="28"/>
      <c r="Z32" s="28"/>
      <c r="AA32" s="15"/>
    </row>
    <row r="33" spans="1:27" s="13" customFormat="1" x14ac:dyDescent="0.25">
      <c r="A33" s="13"/>
      <c r="B33" s="28"/>
      <c r="C33" s="33"/>
      <c r="D33" s="16"/>
      <c r="E33" s="28"/>
      <c r="F33" s="28"/>
      <c r="G33" s="28"/>
      <c r="H33" s="13"/>
      <c r="I33" s="28"/>
      <c r="J33" s="48"/>
      <c r="K33" s="28"/>
      <c r="L33" s="28"/>
      <c r="M33" s="31"/>
      <c r="N33" s="28"/>
      <c r="O33" s="28"/>
      <c r="P33" s="28"/>
      <c r="Q33" s="28"/>
      <c r="R33" s="28"/>
      <c r="S33" s="39"/>
      <c r="T33" s="39"/>
      <c r="U33" s="15"/>
      <c r="V33" s="28"/>
      <c r="W33" s="28"/>
      <c r="X33" s="13"/>
      <c r="Y33" s="28"/>
      <c r="Z33" s="28"/>
      <c r="AA33" s="15"/>
    </row>
    <row r="34" spans="1:27" s="13" customFormat="1" x14ac:dyDescent="0.25">
      <c r="A34" s="15"/>
      <c r="B34" s="28"/>
      <c r="C34" s="33"/>
      <c r="D34" s="16"/>
      <c r="E34" s="28"/>
      <c r="F34" s="28"/>
      <c r="G34" s="28"/>
      <c r="H34" s="13"/>
      <c r="I34" s="28"/>
      <c r="J34" s="48"/>
      <c r="K34" s="28"/>
      <c r="L34" s="28"/>
      <c r="M34" s="32"/>
      <c r="N34" s="28"/>
      <c r="O34" s="28"/>
      <c r="P34" s="28"/>
      <c r="Q34" s="28"/>
      <c r="R34" s="28"/>
      <c r="S34" s="39"/>
      <c r="T34" s="39"/>
      <c r="U34" s="15"/>
      <c r="V34" s="28"/>
      <c r="W34" s="28"/>
      <c r="X34" s="13"/>
      <c r="Y34" s="28"/>
      <c r="Z34" s="28"/>
      <c r="AA34" s="15"/>
    </row>
    <row r="35" spans="1:27" s="13" customFormat="1" x14ac:dyDescent="0.25">
      <c r="A35" s="15"/>
      <c r="B35" s="28"/>
      <c r="C35" s="33"/>
      <c r="D35" s="16"/>
      <c r="E35" s="28"/>
      <c r="F35" s="28"/>
      <c r="G35" s="28"/>
      <c r="H35" s="13"/>
      <c r="I35" s="28"/>
      <c r="J35" s="48"/>
      <c r="K35" s="28"/>
      <c r="L35" s="28"/>
      <c r="M35" s="32"/>
      <c r="N35" s="28"/>
      <c r="O35" s="28"/>
      <c r="P35" s="28"/>
      <c r="Q35" s="28"/>
      <c r="R35" s="28"/>
      <c r="S35" s="39"/>
      <c r="T35" s="39"/>
      <c r="U35" s="15"/>
      <c r="V35" s="28"/>
      <c r="W35" s="28"/>
      <c r="X35" s="13"/>
      <c r="Y35" s="28"/>
      <c r="Z35" s="28"/>
      <c r="AA35" s="15"/>
    </row>
    <row r="36" spans="1:27" s="13" customFormat="1" x14ac:dyDescent="0.25">
      <c r="A36" s="15"/>
      <c r="B36" s="28"/>
      <c r="C36" s="33"/>
      <c r="D36" s="16"/>
      <c r="E36" s="28"/>
      <c r="F36" s="28"/>
      <c r="G36" s="28"/>
      <c r="H36" s="13"/>
      <c r="I36" s="28"/>
      <c r="J36" s="48"/>
      <c r="K36" s="28"/>
      <c r="L36" s="28"/>
      <c r="M36" s="32"/>
      <c r="N36" s="28"/>
      <c r="O36" s="28"/>
      <c r="P36" s="28"/>
      <c r="Q36" s="28"/>
      <c r="R36" s="28"/>
      <c r="S36" s="39"/>
      <c r="T36" s="39"/>
      <c r="U36" s="15"/>
      <c r="V36" s="28"/>
      <c r="W36" s="28"/>
      <c r="X36" s="13"/>
      <c r="Y36" s="28"/>
      <c r="Z36" s="28"/>
      <c r="AA36" s="15"/>
    </row>
    <row r="37" spans="1:27" s="13" customFormat="1" x14ac:dyDescent="0.25">
      <c r="A37" s="15"/>
      <c r="B37" s="28"/>
      <c r="C37" s="33"/>
      <c r="D37" s="16"/>
      <c r="E37" s="28"/>
      <c r="F37" s="28"/>
      <c r="G37" s="28"/>
      <c r="H37" s="13"/>
      <c r="I37" s="28"/>
      <c r="J37" s="48"/>
      <c r="K37" s="28"/>
      <c r="L37" s="28"/>
      <c r="M37" s="32"/>
      <c r="N37" s="28"/>
      <c r="O37" s="28"/>
      <c r="P37" s="28"/>
      <c r="Q37" s="28"/>
      <c r="R37" s="28"/>
      <c r="S37" s="39"/>
      <c r="T37" s="39"/>
      <c r="U37" s="15"/>
      <c r="V37" s="28"/>
      <c r="W37" s="28"/>
      <c r="X37" s="13"/>
      <c r="Y37" s="28"/>
      <c r="Z37" s="28"/>
      <c r="AA37" s="15"/>
    </row>
    <row r="38" spans="1:27" s="13" customFormat="1" x14ac:dyDescent="0.25">
      <c r="A38" s="13"/>
      <c r="B38" s="28"/>
      <c r="C38" s="33"/>
      <c r="D38" s="16"/>
      <c r="E38" s="28"/>
      <c r="F38" s="28"/>
      <c r="G38" s="28"/>
      <c r="H38" s="13"/>
      <c r="I38" s="28"/>
      <c r="J38" s="48"/>
      <c r="K38" s="28"/>
      <c r="L38" s="28"/>
      <c r="M38" s="32"/>
      <c r="N38" s="28"/>
      <c r="O38" s="28"/>
      <c r="P38" s="28"/>
      <c r="Q38" s="28"/>
      <c r="R38" s="28"/>
      <c r="S38" s="39"/>
      <c r="T38" s="39"/>
      <c r="U38" s="15"/>
      <c r="V38" s="28"/>
      <c r="W38" s="28"/>
      <c r="X38" s="13"/>
      <c r="Y38" s="28"/>
      <c r="Z38" s="28"/>
      <c r="AA38" s="15"/>
    </row>
    <row r="39" spans="1:27" s="13" customFormat="1" x14ac:dyDescent="0.25">
      <c r="A39" s="15"/>
      <c r="B39" s="28"/>
      <c r="C39" s="33"/>
      <c r="D39" s="16"/>
      <c r="E39" s="28"/>
      <c r="F39" s="28"/>
      <c r="G39" s="28"/>
      <c r="H39" s="13"/>
      <c r="I39" s="28"/>
      <c r="J39" s="48"/>
      <c r="K39" s="28"/>
      <c r="L39" s="28"/>
      <c r="M39" s="31"/>
      <c r="N39" s="28"/>
      <c r="O39" s="28"/>
      <c r="P39" s="28"/>
      <c r="Q39" s="28"/>
      <c r="R39" s="28"/>
      <c r="S39" s="39"/>
      <c r="T39" s="39"/>
      <c r="U39" s="15"/>
      <c r="V39" s="28"/>
      <c r="W39" s="28"/>
      <c r="X39" s="13"/>
      <c r="Y39" s="28"/>
      <c r="Z39" s="28"/>
      <c r="AA39" s="15"/>
    </row>
    <row r="40" ht="15.75" customHeight="1" spans="1:27" s="13" customFormat="1" x14ac:dyDescent="0.25">
      <c r="A40" s="15"/>
      <c r="B40" s="28"/>
      <c r="C40" s="33"/>
      <c r="D40" s="16"/>
      <c r="E40" s="28"/>
      <c r="F40" s="28"/>
      <c r="G40" s="28"/>
      <c r="H40" s="13"/>
      <c r="I40" s="49"/>
      <c r="J40" s="48"/>
      <c r="K40" s="28"/>
      <c r="L40" s="28"/>
      <c r="M40" s="31"/>
      <c r="N40" s="28"/>
      <c r="O40" s="28"/>
      <c r="P40" s="28"/>
      <c r="Q40" s="28"/>
      <c r="R40" s="28"/>
      <c r="S40" s="39"/>
      <c r="T40" s="39"/>
      <c r="U40" s="15"/>
      <c r="V40" s="28"/>
      <c r="W40" s="28"/>
      <c r="X40" s="13"/>
      <c r="Y40" s="28"/>
      <c r="Z40" s="28"/>
      <c r="AA40" s="15"/>
    </row>
    <row r="235" spans="1:4" x14ac:dyDescent="0.25">
      <c r="A235" s="15"/>
      <c r="B235" s="15"/>
      <c r="C235" s="50"/>
      <c r="D235" s="5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headerFooter>
    <oddHeader>&amp;R&amp;"ROBOTO"&amp;10&amp;K008000PUBLIC&amp;1#</oddHeader>
    <oddFooter>&amp;L&amp;1#&amp;"ROBOTO"&amp;12&amp;K008000PUBLIC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 zoomScale="96" zoomScaleNormal="100">
      <pane xSplit="4" ySplit="1" topLeftCell="Y2" activePane="bottomRight" state="frozen"/>
      <selection pane="bottomRight" activeCell="AA2" sqref="AA2"/>
    </sheetView>
  </sheetViews>
  <sheetFormatPr defaultRowHeight="15" outlineLevelRow="0" outlineLevelCol="0" x14ac:dyDescent="0.25"/>
  <cols>
    <col min="1" max="1" width="17.42578125" style="1" customWidth="1"/>
    <col min="2" max="2" width="6.5703125" customWidth="1"/>
    <col min="3" max="3" width="16.28515625" customWidth="1"/>
    <col min="4" max="4" width="36.42578125" style="2" customWidth="1"/>
    <col min="5" max="5" width="18.28515625" style="3" customWidth="1"/>
    <col min="6" max="6" width="18.28515625" style="4" customWidth="1"/>
    <col min="7" max="7" width="17" style="5" customWidth="1"/>
    <col min="8" max="8" width="21.85546875" style="5" customWidth="1"/>
    <col min="9" max="16" width="17" style="5" customWidth="1"/>
    <col min="17" max="17" width="38.7109375" customWidth="1"/>
    <col min="18" max="19" width="27.7109375" customWidth="1"/>
    <col min="20" max="20" width="17.5703125" customWidth="1"/>
    <col min="21" max="21" width="28" customWidth="1"/>
    <col min="22" max="22" width="15.28515625" customWidth="1"/>
    <col min="23" max="24" width="10.7109375" customWidth="1"/>
    <col min="26" max="26" width="45.5703125" customWidth="1"/>
    <col min="27" max="27" width="12.42578125" customWidth="1"/>
  </cols>
  <sheetData>
    <row r="1" ht="15.75" customHeight="1" spans="1:27" x14ac:dyDescent="0.2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9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1" t="s">
        <v>25</v>
      </c>
      <c r="AA1" s="12" t="s">
        <v>26</v>
      </c>
    </row>
    <row r="2" spans="1:27" x14ac:dyDescent="0.25">
      <c r="A2" s="13" t="s">
        <v>27</v>
      </c>
      <c r="B2">
        <v>1</v>
      </c>
      <c r="C2" s="14" t="s">
        <v>28</v>
      </c>
      <c r="D2" s="13" t="s">
        <v>29</v>
      </c>
      <c r="E2" s="15" t="s">
        <v>30</v>
      </c>
      <c r="F2" s="16">
        <v>7580312.25</v>
      </c>
      <c r="G2" s="17">
        <f>F2/4+200000</f>
        <v>2095078.0625</v>
      </c>
      <c r="H2" s="17" t="s">
        <v>31</v>
      </c>
      <c r="I2" s="17">
        <f>F2/4</f>
        <v>1895078.0625</v>
      </c>
      <c r="J2" s="17" t="s">
        <v>32</v>
      </c>
      <c r="K2" s="17">
        <f>G2-300000</f>
        <v>1795078.0625</v>
      </c>
      <c r="L2" s="17" t="s">
        <v>33</v>
      </c>
      <c r="M2" s="18">
        <f>G2</f>
        <v>2095078.0625</v>
      </c>
      <c r="N2" s="17">
        <f>M2*0.21%</f>
        <v>4399.66393125</v>
      </c>
      <c r="O2" s="17">
        <f>200000*1%</f>
        <v>2000</v>
      </c>
      <c r="P2" s="19">
        <f>I2*2%</f>
        <v>37901.56125</v>
      </c>
      <c r="Q2" s="15" t="s">
        <v>34</v>
      </c>
      <c r="R2" s="13" t="s">
        <v>35</v>
      </c>
      <c r="S2" s="13" t="s">
        <v>36</v>
      </c>
      <c r="T2" s="13" t="s">
        <v>37</v>
      </c>
      <c r="U2" s="15" t="s">
        <v>38</v>
      </c>
      <c r="V2" s="20">
        <v>26936</v>
      </c>
      <c r="W2" s="21">
        <f>YEAR(V2)</f>
        <v>1973</v>
      </c>
      <c r="X2" s="21">
        <f>2026-W2</f>
        <v>53</v>
      </c>
      <c r="Z2" s="22" t="str">
        <f>Q2</f>
        <v>NO13 DIVINE WISDOM STREET MOPOL QTRS MARARABA</v>
      </c>
      <c r="AA2" t="e">
        <v>#VALUE!</v>
      </c>
    </row>
    <row r="3" spans="1:27" x14ac:dyDescent="0.25">
      <c r="A3" s="13" t="s">
        <v>39</v>
      </c>
      <c r="B3">
        <v>2</v>
      </c>
      <c r="C3" s="14" t="s">
        <v>40</v>
      </c>
      <c r="D3" s="13" t="s">
        <v>41</v>
      </c>
      <c r="E3" s="15" t="s">
        <v>42</v>
      </c>
      <c r="F3" s="16">
        <v>4780109.08</v>
      </c>
      <c r="G3" s="17">
        <f>F3/4+200000</f>
        <v>1395027.27</v>
      </c>
      <c r="H3" s="17" t="s">
        <v>43</v>
      </c>
      <c r="I3" s="17">
        <f>F3/4</f>
        <v>1195027.27</v>
      </c>
      <c r="J3" s="17" t="s">
        <v>44</v>
      </c>
      <c r="K3" s="17">
        <f>G3-300000</f>
        <v>1095027.27</v>
      </c>
      <c r="L3" s="17" t="s">
        <v>45</v>
      </c>
      <c r="M3" s="18">
        <f>G3</f>
        <v>1395027.27</v>
      </c>
      <c r="N3" s="17">
        <f>M3*0.21%</f>
        <v>2929.5572669999997</v>
      </c>
      <c r="O3" s="17">
        <f>200000*1%</f>
        <v>2000</v>
      </c>
      <c r="P3" s="19">
        <f>I3*2%</f>
        <v>23900.5454</v>
      </c>
      <c r="Q3" s="15" t="s">
        <v>46</v>
      </c>
      <c r="R3" s="13" t="s">
        <v>47</v>
      </c>
      <c r="S3" s="13" t="s">
        <v>48</v>
      </c>
      <c r="T3" s="13" t="s">
        <v>49</v>
      </c>
      <c r="U3" s="15" t="s">
        <v>50</v>
      </c>
      <c r="V3" s="20">
        <v>28892</v>
      </c>
      <c r="W3" s="21">
        <f>YEAR(V3)</f>
        <v>1979</v>
      </c>
      <c r="X3" s="21">
        <f>2026-W3</f>
        <v>47</v>
      </c>
      <c r="Z3" s="22" t="str">
        <f>Q3</f>
        <v>IGALA CLOSE ADO JUNCTION NEW KARU</v>
      </c>
      <c r="AA3" t="e">
        <v>#VALUE!</v>
      </c>
    </row>
    <row r="4" spans="1:27" x14ac:dyDescent="0.25">
      <c r="A4" s="13" t="s">
        <v>51</v>
      </c>
      <c r="B4">
        <v>3</v>
      </c>
      <c r="C4" s="14" t="s">
        <v>52</v>
      </c>
      <c r="D4" s="13" t="s">
        <v>53</v>
      </c>
      <c r="E4" s="15" t="s">
        <v>54</v>
      </c>
      <c r="F4" s="16">
        <v>11680290.36</v>
      </c>
      <c r="G4" s="17">
        <f>F4/4+200000</f>
        <v>3120072.59</v>
      </c>
      <c r="H4" s="17" t="s">
        <v>55</v>
      </c>
      <c r="I4" s="17">
        <f>F4/4</f>
        <v>2920072.59</v>
      </c>
      <c r="J4" s="17" t="s">
        <v>56</v>
      </c>
      <c r="K4" s="17">
        <f>G4-300000</f>
        <v>2820072.59</v>
      </c>
      <c r="L4" s="17" t="s">
        <v>57</v>
      </c>
      <c r="M4" s="18">
        <f>G4</f>
        <v>3120072.59</v>
      </c>
      <c r="N4" s="17">
        <f>M4*0.21%</f>
        <v>6552.1524389999995</v>
      </c>
      <c r="O4" s="17">
        <f>200000*1%</f>
        <v>2000</v>
      </c>
      <c r="P4" s="19">
        <f>I4*2%</f>
        <v>58401.451799999995</v>
      </c>
      <c r="Q4" s="15" t="s">
        <v>58</v>
      </c>
      <c r="R4" s="13" t="s">
        <v>59</v>
      </c>
      <c r="S4" s="13" t="s">
        <v>60</v>
      </c>
      <c r="T4" s="13" t="s">
        <v>61</v>
      </c>
      <c r="U4" s="15" t="s">
        <v>62</v>
      </c>
      <c r="V4" s="20">
        <v>27942</v>
      </c>
      <c r="W4" s="21">
        <f>YEAR(V4)</f>
        <v>1976</v>
      </c>
      <c r="X4" s="21">
        <f>2026-W4</f>
        <v>50</v>
      </c>
      <c r="Z4" s="22" t="str">
        <f>Q4</f>
        <v>UZO HOUSE KURU TOTO L.G.A NASSARAWA</v>
      </c>
      <c r="AA4" t="e">
        <v>#VALUE!</v>
      </c>
    </row>
    <row r="5" spans="1:27" x14ac:dyDescent="0.25">
      <c r="A5" s="13" t="s">
        <v>63</v>
      </c>
      <c r="B5">
        <v>4</v>
      </c>
      <c r="C5" s="14" t="s">
        <v>64</v>
      </c>
      <c r="D5" s="13" t="s">
        <v>65</v>
      </c>
      <c r="E5" s="15" t="s">
        <v>66</v>
      </c>
      <c r="F5" s="16">
        <v>5427082.9</v>
      </c>
      <c r="G5" s="17">
        <f>F5/4+200000</f>
        <v>1556770.725</v>
      </c>
      <c r="H5" s="17" t="s">
        <v>67</v>
      </c>
      <c r="I5" s="17">
        <f>F5/4</f>
        <v>1356770.725</v>
      </c>
      <c r="J5" s="17" t="s">
        <v>68</v>
      </c>
      <c r="K5" s="17">
        <f>G5-300000</f>
        <v>1256770.725</v>
      </c>
      <c r="L5" s="17" t="s">
        <v>69</v>
      </c>
      <c r="M5" s="18">
        <f>G5</f>
        <v>1556770.725</v>
      </c>
      <c r="N5" s="17">
        <f>M5*0.21%</f>
        <v>3269.2185225</v>
      </c>
      <c r="O5" s="17">
        <f>200000*1%</f>
        <v>2000</v>
      </c>
      <c r="P5" s="19">
        <f>I5*2%</f>
        <v>27135.414500000003</v>
      </c>
      <c r="Q5" s="15" t="s">
        <v>70</v>
      </c>
      <c r="R5" s="13" t="s">
        <v>71</v>
      </c>
      <c r="S5" s="13" t="s">
        <v>72</v>
      </c>
      <c r="T5" s="13" t="s">
        <v>73</v>
      </c>
      <c r="U5" s="15" t="s">
        <v>74</v>
      </c>
      <c r="V5" s="20">
        <v>32296</v>
      </c>
      <c r="W5" s="21">
        <f>YEAR(V5)</f>
        <v>1988</v>
      </c>
      <c r="X5" s="21">
        <f>2026-W5</f>
        <v>38</v>
      </c>
      <c r="Z5" s="22" t="str">
        <f>Q5</f>
        <v>NO 51 AKWANGA L.G.A RUGA STREET NASSARAWA</v>
      </c>
      <c r="AA5" t="e">
        <v>#VALUE!</v>
      </c>
    </row>
    <row r="6" spans="1:27" x14ac:dyDescent="0.25">
      <c r="A6" s="15"/>
      <c r="C6" s="14"/>
      <c r="D6" s="13"/>
      <c r="E6" s="15"/>
      <c r="F6" s="16"/>
      <c r="G6" s="17"/>
      <c r="H6" s="17"/>
      <c r="I6" s="17"/>
      <c r="J6" s="17"/>
      <c r="K6" s="17"/>
      <c r="L6" s="17"/>
      <c r="M6" s="18"/>
      <c r="N6" s="17"/>
      <c r="O6" s="17"/>
      <c r="P6" s="19"/>
      <c r="Q6" s="15"/>
      <c r="R6" s="13"/>
      <c r="S6" s="13"/>
      <c r="T6" s="13"/>
      <c r="U6" s="15"/>
      <c r="V6" s="15"/>
      <c r="W6" s="21"/>
      <c r="X6" s="21"/>
      <c r="Z6" s="22"/>
    </row>
    <row r="7" spans="1:27" x14ac:dyDescent="0.25">
      <c r="A7" s="23"/>
      <c r="C7" s="14"/>
      <c r="D7" s="23"/>
      <c r="E7" s="23"/>
      <c r="F7" s="16"/>
      <c r="G7" s="17"/>
      <c r="H7" s="17"/>
      <c r="I7" s="17"/>
      <c r="J7" s="17"/>
      <c r="K7" s="17"/>
      <c r="L7" s="17"/>
      <c r="M7" s="18"/>
      <c r="N7" s="17"/>
      <c r="O7" s="17"/>
      <c r="P7" s="19"/>
      <c r="Q7" s="23"/>
      <c r="R7" s="23"/>
      <c r="S7" s="23"/>
      <c r="T7" s="23"/>
      <c r="U7" s="23"/>
      <c r="V7" s="15"/>
      <c r="W7" s="21"/>
      <c r="X7" s="21"/>
      <c r="Z7" s="22"/>
    </row>
    <row r="8" spans="1:27" x14ac:dyDescent="0.25">
      <c r="A8" s="15"/>
      <c r="C8" s="14"/>
      <c r="D8" s="13"/>
      <c r="E8" s="13"/>
      <c r="F8" s="16"/>
      <c r="G8" s="17"/>
      <c r="H8" s="17"/>
      <c r="I8" s="17"/>
      <c r="J8" s="17"/>
      <c r="K8" s="17"/>
      <c r="L8" s="17"/>
      <c r="M8" s="18"/>
      <c r="N8" s="17"/>
      <c r="O8" s="17"/>
      <c r="P8" s="19"/>
      <c r="Q8" s="13"/>
      <c r="R8" s="13"/>
      <c r="S8" s="13"/>
      <c r="T8" s="13"/>
      <c r="U8" s="13"/>
      <c r="V8" s="24"/>
      <c r="W8" s="21"/>
      <c r="X8" s="21"/>
      <c r="Z8" s="22"/>
    </row>
    <row r="9" spans="1:27" x14ac:dyDescent="0.25">
      <c r="A9" s="15"/>
      <c r="C9" s="14"/>
      <c r="D9" s="13"/>
      <c r="E9" s="25"/>
      <c r="F9" s="16"/>
      <c r="G9" s="17"/>
      <c r="H9" s="17"/>
      <c r="I9" s="17"/>
      <c r="J9" s="17"/>
      <c r="K9" s="17"/>
      <c r="L9" s="17"/>
      <c r="M9" s="18"/>
      <c r="N9" s="17"/>
      <c r="O9" s="17"/>
      <c r="P9" s="19"/>
      <c r="Q9" s="13"/>
      <c r="R9" s="13"/>
      <c r="S9" s="13"/>
      <c r="T9" s="13"/>
      <c r="U9" s="13"/>
      <c r="V9" s="24"/>
      <c r="W9" s="21"/>
      <c r="X9" s="21"/>
      <c r="Z9" s="22"/>
    </row>
    <row r="10" spans="1:27" x14ac:dyDescent="0.25">
      <c r="A10" s="15"/>
      <c r="C10" s="14"/>
      <c r="D10" s="13"/>
      <c r="E10" s="13"/>
      <c r="F10" s="16"/>
      <c r="G10" s="17"/>
      <c r="H10" s="17"/>
      <c r="I10" s="17"/>
      <c r="J10" s="17"/>
      <c r="K10" s="17"/>
      <c r="L10" s="17"/>
      <c r="M10" s="18"/>
      <c r="N10" s="17"/>
      <c r="O10" s="17"/>
      <c r="P10" s="19"/>
      <c r="Q10" s="13"/>
      <c r="R10" s="13"/>
      <c r="S10" s="13"/>
      <c r="T10" s="13"/>
      <c r="U10" s="13"/>
      <c r="V10" s="26"/>
      <c r="W10" s="21"/>
      <c r="X10" s="21"/>
      <c r="Z10" s="22"/>
    </row>
    <row r="11" spans="1:27" x14ac:dyDescent="0.25">
      <c r="A11" s="15"/>
      <c r="C11" s="14"/>
      <c r="D11" s="13"/>
      <c r="E11" s="13"/>
      <c r="F11" s="16"/>
      <c r="G11" s="17"/>
      <c r="H11" s="17"/>
      <c r="I11" s="17"/>
      <c r="J11" s="17"/>
      <c r="K11" s="17"/>
      <c r="L11" s="17"/>
      <c r="M11" s="18"/>
      <c r="N11" s="17"/>
      <c r="O11" s="17"/>
      <c r="P11" s="19"/>
      <c r="Q11" s="13"/>
      <c r="R11" s="13"/>
      <c r="S11" s="13"/>
      <c r="T11" s="13"/>
      <c r="U11" s="13"/>
      <c r="V11" s="26"/>
      <c r="W11" s="21"/>
      <c r="X11" s="21"/>
      <c r="Z11" s="22"/>
    </row>
    <row r="12" spans="1:27" x14ac:dyDescent="0.25">
      <c r="A12" s="15"/>
      <c r="C12" s="14"/>
      <c r="D12" s="13"/>
      <c r="E12" s="13"/>
      <c r="F12" s="16"/>
      <c r="G12" s="17"/>
      <c r="H12" s="17"/>
      <c r="I12" s="17"/>
      <c r="J12" s="17"/>
      <c r="K12" s="17"/>
      <c r="L12" s="17"/>
      <c r="M12" s="18"/>
      <c r="N12" s="17"/>
      <c r="O12" s="17"/>
      <c r="P12" s="19"/>
      <c r="Q12" s="13"/>
      <c r="R12" s="13"/>
      <c r="S12" s="13"/>
      <c r="T12" s="13"/>
      <c r="U12" s="13"/>
      <c r="V12" s="24"/>
      <c r="W12" s="21"/>
      <c r="X12" s="21"/>
      <c r="Z12" s="22"/>
    </row>
    <row r="13" spans="1:27" x14ac:dyDescent="0.25">
      <c r="A13" s="15"/>
      <c r="C13" s="14"/>
      <c r="D13" s="13"/>
      <c r="E13" s="13"/>
      <c r="F13" s="16"/>
      <c r="G13" s="17"/>
      <c r="H13" s="17"/>
      <c r="I13" s="17"/>
      <c r="J13" s="17"/>
      <c r="K13" s="17"/>
      <c r="L13" s="17"/>
      <c r="M13" s="18"/>
      <c r="N13" s="17"/>
      <c r="O13" s="17"/>
      <c r="P13" s="19"/>
      <c r="Q13" s="13"/>
      <c r="R13" s="13"/>
      <c r="S13" s="13"/>
      <c r="T13" s="13"/>
      <c r="U13" s="13"/>
      <c r="V13" s="24"/>
      <c r="W13" s="21"/>
      <c r="X13" s="21"/>
      <c r="Z13" s="22"/>
    </row>
    <row r="14" spans="1:27" x14ac:dyDescent="0.25">
      <c r="A14" s="15"/>
      <c r="C14" s="14"/>
      <c r="D14" s="13"/>
      <c r="E14" s="13"/>
      <c r="F14" s="16"/>
      <c r="G14" s="17"/>
      <c r="H14" s="17"/>
      <c r="I14" s="17"/>
      <c r="J14" s="17"/>
      <c r="K14" s="17"/>
      <c r="L14" s="17"/>
      <c r="M14" s="18"/>
      <c r="N14" s="17"/>
      <c r="O14" s="17"/>
      <c r="P14" s="19"/>
      <c r="Q14" s="13"/>
      <c r="R14" s="13"/>
      <c r="S14" s="13"/>
      <c r="T14" s="13"/>
      <c r="U14" s="13"/>
      <c r="V14" s="24"/>
      <c r="W14" s="21"/>
      <c r="X14" s="21"/>
      <c r="Z14" s="22"/>
    </row>
    <row r="15" spans="1:27" x14ac:dyDescent="0.25">
      <c r="A15" s="15"/>
      <c r="C15" s="14"/>
      <c r="D15" s="13"/>
      <c r="E15" s="13"/>
      <c r="F15" s="16"/>
      <c r="G15" s="17"/>
      <c r="H15" s="17"/>
      <c r="I15" s="17"/>
      <c r="J15" s="17"/>
      <c r="K15" s="17"/>
      <c r="L15" s="17"/>
      <c r="M15" s="18"/>
      <c r="N15" s="17"/>
      <c r="O15" s="17"/>
      <c r="P15" s="19"/>
      <c r="Q15" s="13"/>
      <c r="R15" s="13"/>
      <c r="S15" s="13"/>
      <c r="T15" s="13"/>
      <c r="U15" s="13"/>
      <c r="V15" s="24"/>
      <c r="W15" s="21"/>
      <c r="X15" s="21"/>
      <c r="Z15" s="22"/>
    </row>
    <row r="16" spans="1:27" x14ac:dyDescent="0.25">
      <c r="A16" s="15"/>
      <c r="C16" s="14"/>
      <c r="D16" s="13"/>
      <c r="E16" s="13"/>
      <c r="F16" s="16"/>
      <c r="G16" s="17"/>
      <c r="H16" s="17"/>
      <c r="I16" s="17"/>
      <c r="J16" s="17"/>
      <c r="K16" s="17"/>
      <c r="L16" s="17"/>
      <c r="M16" s="18"/>
      <c r="N16" s="17"/>
      <c r="O16" s="17"/>
      <c r="P16" s="19"/>
      <c r="Q16" s="13"/>
      <c r="R16" s="13"/>
      <c r="S16" s="13"/>
      <c r="T16" s="13"/>
      <c r="U16" s="13"/>
      <c r="V16" s="24"/>
      <c r="W16" s="21"/>
      <c r="X16" s="21"/>
      <c r="Z16" s="22"/>
    </row>
    <row r="17" spans="1:27" x14ac:dyDescent="0.25">
      <c r="A17" s="15"/>
      <c r="C17" s="14"/>
      <c r="D17" s="13"/>
      <c r="E17" s="13"/>
      <c r="F17" s="16"/>
      <c r="G17" s="17"/>
      <c r="H17" s="17"/>
      <c r="I17" s="17"/>
      <c r="J17" s="17"/>
      <c r="K17" s="17"/>
      <c r="L17" s="17"/>
      <c r="M17" s="18"/>
      <c r="N17" s="17"/>
      <c r="O17" s="17"/>
      <c r="P17" s="19"/>
      <c r="Q17" s="13"/>
      <c r="R17" s="13"/>
      <c r="S17" s="13"/>
      <c r="T17" s="13"/>
      <c r="U17" s="13"/>
      <c r="V17" s="20"/>
      <c r="W17" s="21"/>
      <c r="X17" s="21"/>
      <c r="Z17" s="22"/>
    </row>
    <row r="18" spans="1:27" x14ac:dyDescent="0.25">
      <c r="A18" s="13"/>
      <c r="C18" s="14"/>
      <c r="D18" s="13"/>
      <c r="E18" s="13"/>
      <c r="F18" s="16"/>
      <c r="G18" s="17"/>
      <c r="H18" s="17"/>
      <c r="I18" s="17"/>
      <c r="J18" s="17"/>
      <c r="K18" s="17"/>
      <c r="L18" s="17"/>
      <c r="M18" s="18"/>
      <c r="N18" s="17"/>
      <c r="O18" s="17"/>
      <c r="P18" s="19"/>
      <c r="Q18" s="13"/>
      <c r="R18" s="13"/>
      <c r="S18" s="13"/>
      <c r="T18" s="13"/>
      <c r="U18" s="13"/>
      <c r="V18" s="24"/>
      <c r="W18" s="21"/>
      <c r="X18" s="21"/>
      <c r="Z18" s="22"/>
    </row>
    <row r="19" spans="1:27" x14ac:dyDescent="0.25">
      <c r="A19" s="13"/>
      <c r="C19" s="14"/>
      <c r="D19" s="13"/>
      <c r="E19" s="15"/>
      <c r="F19" s="16"/>
      <c r="G19" s="17"/>
      <c r="H19" s="17"/>
      <c r="I19" s="17"/>
      <c r="J19" s="17"/>
      <c r="K19" s="17"/>
      <c r="L19" s="17"/>
      <c r="M19" s="18"/>
      <c r="N19" s="17"/>
      <c r="O19" s="17"/>
      <c r="P19" s="19"/>
      <c r="Q19" s="15"/>
      <c r="R19" s="13"/>
      <c r="S19" s="13"/>
      <c r="T19" s="13"/>
      <c r="U19" s="15"/>
      <c r="V19" s="24"/>
      <c r="W19" s="21"/>
      <c r="X19" s="21"/>
      <c r="Z19" s="22"/>
    </row>
    <row r="20" spans="1:27" x14ac:dyDescent="0.25">
      <c r="A20" s="13"/>
      <c r="C20" s="14"/>
      <c r="D20" s="13"/>
      <c r="E20" s="15"/>
      <c r="F20" s="16"/>
      <c r="G20" s="17"/>
      <c r="H20" s="17"/>
      <c r="I20" s="17"/>
      <c r="J20" s="17"/>
      <c r="K20" s="17"/>
      <c r="L20" s="17"/>
      <c r="M20" s="18"/>
      <c r="N20" s="17"/>
      <c r="O20" s="17"/>
      <c r="P20" s="19"/>
      <c r="Q20" s="15"/>
      <c r="R20" s="15"/>
      <c r="S20" s="15"/>
      <c r="T20" s="15"/>
      <c r="U20" s="15"/>
      <c r="V20" s="26"/>
      <c r="W20" s="21"/>
      <c r="X20" s="21"/>
      <c r="Z20" s="22"/>
    </row>
    <row r="21" spans="1:27" x14ac:dyDescent="0.25">
      <c r="A21" s="13"/>
      <c r="C21" s="14"/>
      <c r="D21" s="15"/>
      <c r="E21" s="15"/>
      <c r="F21" s="16"/>
      <c r="G21" s="17"/>
      <c r="H21" s="17"/>
      <c r="I21" s="17"/>
      <c r="J21" s="17"/>
      <c r="K21" s="17"/>
      <c r="L21" s="17"/>
      <c r="M21" s="18"/>
      <c r="N21" s="17"/>
      <c r="O21" s="17"/>
      <c r="P21" s="19"/>
      <c r="Q21" s="15"/>
      <c r="R21" s="15"/>
      <c r="S21" s="15"/>
      <c r="T21" s="15"/>
      <c r="U21" s="15"/>
      <c r="V21" s="24"/>
      <c r="W21" s="21"/>
      <c r="X21" s="21"/>
      <c r="Z21" s="22"/>
    </row>
    <row r="22" spans="1:27" x14ac:dyDescent="0.25">
      <c r="A22" s="13"/>
      <c r="C22" s="14"/>
      <c r="D22" s="15"/>
      <c r="E22" s="15"/>
      <c r="F22" s="16"/>
      <c r="G22" s="17"/>
      <c r="H22" s="17"/>
      <c r="I22" s="17"/>
      <c r="J22" s="17"/>
      <c r="K22" s="17"/>
      <c r="L22" s="17"/>
      <c r="M22" s="18"/>
      <c r="N22" s="17"/>
      <c r="O22" s="17"/>
      <c r="P22" s="19"/>
      <c r="Q22" s="15"/>
      <c r="R22" s="15"/>
      <c r="S22" s="15"/>
      <c r="T22" s="15"/>
      <c r="U22" s="15"/>
      <c r="V22" s="24"/>
      <c r="W22" s="21"/>
      <c r="X22" s="21"/>
      <c r="Z22" s="22"/>
    </row>
    <row r="23" spans="1:27" x14ac:dyDescent="0.25">
      <c r="A23" s="13"/>
      <c r="C23" s="14"/>
      <c r="D23" s="15"/>
      <c r="E23" s="15"/>
      <c r="F23" s="16"/>
      <c r="G23" s="17"/>
      <c r="H23" s="17"/>
      <c r="I23" s="17"/>
      <c r="J23" s="17"/>
      <c r="K23" s="17"/>
      <c r="L23" s="17"/>
      <c r="M23" s="18"/>
      <c r="N23" s="17"/>
      <c r="O23" s="17"/>
      <c r="P23" s="19"/>
      <c r="Q23" s="15"/>
      <c r="R23" s="15"/>
      <c r="S23" s="15"/>
      <c r="T23" s="15"/>
      <c r="U23" s="15"/>
      <c r="V23" s="15"/>
      <c r="W23" s="21"/>
      <c r="X23" s="21"/>
      <c r="Z23" s="22"/>
    </row>
    <row r="24" spans="1:27" x14ac:dyDescent="0.25">
      <c r="A24" s="15"/>
      <c r="C24" s="14"/>
      <c r="D24" s="15"/>
      <c r="E24" s="15"/>
      <c r="F24" s="16"/>
      <c r="G24" s="17"/>
      <c r="H24" s="17"/>
      <c r="I24" s="17"/>
      <c r="J24" s="17"/>
      <c r="K24" s="17"/>
      <c r="L24" s="17"/>
      <c r="M24" s="18"/>
      <c r="N24" s="17"/>
      <c r="O24" s="17"/>
      <c r="P24" s="19"/>
      <c r="Q24" s="15"/>
      <c r="R24" s="15"/>
      <c r="S24" s="15"/>
      <c r="T24" s="15"/>
      <c r="U24" s="27"/>
      <c r="V24" s="24"/>
      <c r="W24" s="21"/>
      <c r="X24" s="21"/>
      <c r="Z24" s="22"/>
    </row>
    <row r="25" spans="1:27" x14ac:dyDescent="0.25">
      <c r="A25" s="15"/>
      <c r="C25" s="14"/>
      <c r="D25" s="15"/>
      <c r="E25" s="15"/>
      <c r="F25" s="16"/>
      <c r="G25" s="17"/>
      <c r="H25" s="17"/>
      <c r="I25" s="17"/>
      <c r="J25" s="17"/>
      <c r="K25" s="17"/>
      <c r="L25" s="17"/>
      <c r="M25" s="18"/>
      <c r="N25" s="17"/>
      <c r="O25" s="17"/>
      <c r="P25" s="19"/>
      <c r="Q25" s="15"/>
      <c r="R25" s="15"/>
      <c r="S25" s="15"/>
      <c r="T25" s="15"/>
      <c r="U25" s="27"/>
      <c r="V25" s="15"/>
      <c r="W25" s="21"/>
      <c r="X25" s="21"/>
      <c r="Z25" s="22"/>
    </row>
    <row r="26" spans="1:27" x14ac:dyDescent="0.25">
      <c r="A26" s="15"/>
      <c r="C26" s="14"/>
      <c r="D26" s="15"/>
      <c r="E26" s="15"/>
      <c r="F26" s="16"/>
      <c r="G26" s="17"/>
      <c r="H26" s="17"/>
      <c r="I26" s="17"/>
      <c r="J26" s="17"/>
      <c r="K26" s="17"/>
      <c r="L26" s="17"/>
      <c r="M26" s="18"/>
      <c r="N26" s="17"/>
      <c r="O26" s="17"/>
      <c r="P26" s="19"/>
      <c r="Q26" s="15"/>
      <c r="R26" s="15"/>
      <c r="S26" s="15"/>
      <c r="T26" s="15"/>
      <c r="U26" s="15"/>
      <c r="V26" s="24"/>
      <c r="W26" s="21"/>
      <c r="X26" s="21"/>
      <c r="Z26" s="22"/>
    </row>
    <row r="27" spans="1:27" x14ac:dyDescent="0.25">
      <c r="A27" s="15"/>
      <c r="C27" s="14"/>
      <c r="D27" s="15"/>
      <c r="E27" s="15"/>
      <c r="F27" s="16"/>
      <c r="G27" s="17"/>
      <c r="H27" s="17"/>
      <c r="I27" s="17"/>
      <c r="J27" s="17"/>
      <c r="K27" s="17"/>
      <c r="L27" s="17"/>
      <c r="M27" s="18"/>
      <c r="N27" s="17"/>
      <c r="O27" s="17"/>
      <c r="P27" s="19"/>
      <c r="Q27" s="15"/>
      <c r="R27" s="15"/>
      <c r="S27" s="15"/>
      <c r="T27" s="15"/>
      <c r="U27" s="15"/>
      <c r="V27" s="26"/>
      <c r="W27" s="21"/>
      <c r="X27" s="21"/>
      <c r="Z27" s="22"/>
    </row>
    <row r="28" spans="1:27" x14ac:dyDescent="0.25">
      <c r="A28" s="15"/>
      <c r="C28" s="14"/>
      <c r="D28" s="15"/>
      <c r="E28" s="15"/>
      <c r="F28" s="16"/>
      <c r="G28" s="17"/>
      <c r="H28" s="17"/>
      <c r="I28" s="17"/>
      <c r="J28" s="17"/>
      <c r="K28" s="17"/>
      <c r="L28" s="17"/>
      <c r="M28" s="18"/>
      <c r="N28" s="17"/>
      <c r="O28" s="17"/>
      <c r="P28" s="19"/>
      <c r="Q28" s="15"/>
      <c r="R28" s="15"/>
      <c r="S28" s="15"/>
      <c r="T28" s="15"/>
      <c r="U28" s="15"/>
      <c r="V28" s="26"/>
      <c r="W28" s="21"/>
      <c r="X28" s="21"/>
      <c r="Z28" s="22"/>
    </row>
    <row r="29" spans="1:27" x14ac:dyDescent="0.25">
      <c r="A29" s="15"/>
      <c r="C29" s="14"/>
      <c r="D29" s="15"/>
      <c r="E29" s="15"/>
      <c r="F29" s="16"/>
      <c r="G29" s="17"/>
      <c r="H29" s="17"/>
      <c r="I29" s="17"/>
      <c r="J29" s="17"/>
      <c r="K29" s="17"/>
      <c r="L29" s="17"/>
      <c r="M29" s="18"/>
      <c r="N29" s="17"/>
      <c r="O29" s="17"/>
      <c r="P29" s="19"/>
      <c r="Q29" s="15"/>
      <c r="R29" s="15"/>
      <c r="S29" s="15"/>
      <c r="T29" s="15"/>
      <c r="U29" s="15"/>
      <c r="V29" s="26"/>
      <c r="W29" s="21"/>
      <c r="X29" s="21"/>
      <c r="Z29" s="22"/>
    </row>
    <row r="30" spans="1:27" x14ac:dyDescent="0.25">
      <c r="A30" s="28"/>
      <c r="C30" s="14"/>
      <c r="D30" s="29"/>
      <c r="E30" s="29"/>
      <c r="F30" s="16"/>
      <c r="G30" s="17"/>
      <c r="H30" s="17"/>
      <c r="I30" s="17"/>
      <c r="J30" s="17"/>
      <c r="K30" s="17"/>
      <c r="L30" s="17"/>
      <c r="M30" s="18"/>
      <c r="N30" s="17"/>
      <c r="O30" s="17"/>
      <c r="P30" s="19"/>
      <c r="Q30" s="29"/>
      <c r="R30" s="29"/>
      <c r="S30" s="29"/>
      <c r="T30" s="29"/>
      <c r="U30" s="29"/>
      <c r="V30" s="30"/>
      <c r="W30" s="21"/>
      <c r="X30" s="21"/>
      <c r="Z30" s="22"/>
    </row>
    <row r="31" spans="1:27" x14ac:dyDescent="0.25">
      <c r="A31" s="13"/>
      <c r="C31" s="14"/>
      <c r="D31" s="13"/>
      <c r="E31" s="13"/>
      <c r="F31" s="16"/>
      <c r="G31" s="17"/>
      <c r="H31" s="17"/>
      <c r="I31" s="17"/>
      <c r="J31" s="17"/>
      <c r="K31" s="17"/>
      <c r="L31" s="17"/>
      <c r="M31" s="18"/>
      <c r="N31" s="17"/>
      <c r="O31" s="17"/>
      <c r="P31" s="19"/>
      <c r="Q31" s="13"/>
      <c r="R31" s="13"/>
      <c r="S31" s="13"/>
      <c r="T31" s="13"/>
      <c r="U31" s="13"/>
      <c r="V31" s="24"/>
      <c r="W31" s="21"/>
      <c r="X31" s="21"/>
      <c r="Z31" s="22"/>
    </row>
    <row r="32" spans="1:27" x14ac:dyDescent="0.25">
      <c r="A32" s="15"/>
      <c r="C32" s="14"/>
      <c r="D32" s="13"/>
      <c r="E32" s="15"/>
      <c r="F32" s="16"/>
      <c r="G32" s="17"/>
      <c r="H32" s="17"/>
      <c r="I32" s="17"/>
      <c r="J32" s="17"/>
      <c r="K32" s="17"/>
      <c r="L32" s="17"/>
      <c r="M32" s="18"/>
      <c r="N32" s="17"/>
      <c r="O32" s="17"/>
      <c r="P32" s="19"/>
      <c r="Q32" s="29"/>
      <c r="R32" s="28"/>
      <c r="S32" s="28"/>
      <c r="T32" s="28"/>
      <c r="U32" s="29"/>
      <c r="V32" s="31"/>
      <c r="W32" s="21"/>
      <c r="X32" s="21"/>
      <c r="Z32" s="22"/>
    </row>
    <row r="33" spans="1:27" x14ac:dyDescent="0.25">
      <c r="A33" s="15"/>
      <c r="C33" s="14"/>
      <c r="D33" s="13"/>
      <c r="E33" s="29"/>
      <c r="F33" s="16"/>
      <c r="G33" s="17"/>
      <c r="H33" s="17"/>
      <c r="I33" s="17"/>
      <c r="J33" s="17"/>
      <c r="K33" s="17"/>
      <c r="L33" s="17"/>
      <c r="M33" s="18"/>
      <c r="N33" s="17"/>
      <c r="O33" s="17"/>
      <c r="P33" s="19"/>
      <c r="Q33" s="29"/>
      <c r="R33" s="28"/>
      <c r="S33" s="28"/>
      <c r="T33" s="28"/>
      <c r="U33" s="29"/>
      <c r="V33" s="31"/>
      <c r="W33" s="21"/>
      <c r="X33" s="21"/>
      <c r="Z33" s="22"/>
    </row>
    <row r="34" spans="1:27" x14ac:dyDescent="0.25">
      <c r="A34" s="15"/>
      <c r="C34" s="14"/>
      <c r="D34" s="13"/>
      <c r="E34" s="29"/>
      <c r="F34" s="16"/>
      <c r="G34" s="17"/>
      <c r="H34" s="17"/>
      <c r="I34" s="17"/>
      <c r="J34" s="17"/>
      <c r="K34" s="17"/>
      <c r="L34" s="17"/>
      <c r="M34" s="18"/>
      <c r="N34" s="17"/>
      <c r="O34" s="17"/>
      <c r="P34" s="19"/>
      <c r="Q34" s="29"/>
      <c r="R34" s="29"/>
      <c r="S34" s="29"/>
      <c r="T34" s="29"/>
      <c r="U34" s="29"/>
      <c r="V34" s="32"/>
      <c r="W34" s="21"/>
      <c r="X34" s="21"/>
      <c r="Z34" s="22"/>
    </row>
    <row r="35" spans="1:27" x14ac:dyDescent="0.25">
      <c r="A35" s="15"/>
      <c r="C35" s="14"/>
      <c r="D35" s="13"/>
      <c r="E35" s="29"/>
      <c r="F35" s="16"/>
      <c r="G35" s="17"/>
      <c r="H35" s="17"/>
      <c r="I35" s="17"/>
      <c r="J35" s="17"/>
      <c r="K35" s="17"/>
      <c r="L35" s="17"/>
      <c r="M35" s="18"/>
      <c r="N35" s="17"/>
      <c r="O35" s="17"/>
      <c r="P35" s="19"/>
      <c r="Q35" s="29"/>
      <c r="R35" s="29"/>
      <c r="S35" s="29"/>
      <c r="T35" s="29"/>
      <c r="U35" s="29"/>
      <c r="V35" s="32"/>
      <c r="W35" s="21"/>
      <c r="X35" s="21"/>
      <c r="Z35" s="22"/>
    </row>
    <row r="36" spans="1:27" x14ac:dyDescent="0.25">
      <c r="A36" s="15"/>
      <c r="C36" s="14"/>
      <c r="D36" s="13"/>
      <c r="E36" s="29"/>
      <c r="F36" s="16"/>
      <c r="G36" s="17"/>
      <c r="H36" s="17"/>
      <c r="I36" s="17"/>
      <c r="J36" s="17"/>
      <c r="K36" s="17"/>
      <c r="L36" s="17"/>
      <c r="M36" s="18"/>
      <c r="N36" s="17"/>
      <c r="O36" s="17"/>
      <c r="P36" s="19"/>
      <c r="Q36" s="29"/>
      <c r="R36" s="28"/>
      <c r="S36" s="28"/>
      <c r="T36" s="28"/>
      <c r="U36" s="29"/>
      <c r="V36" s="32"/>
      <c r="W36" s="21"/>
      <c r="X36" s="21"/>
      <c r="Z36" s="22"/>
    </row>
    <row r="37" spans="1:27" x14ac:dyDescent="0.25">
      <c r="A37" s="15"/>
      <c r="C37" s="14"/>
      <c r="D37" s="13"/>
      <c r="E37" s="29"/>
      <c r="F37" s="16"/>
      <c r="G37" s="17"/>
      <c r="H37" s="17"/>
      <c r="I37" s="17"/>
      <c r="J37" s="17"/>
      <c r="K37" s="17"/>
      <c r="L37" s="17"/>
      <c r="M37" s="18"/>
      <c r="N37" s="17"/>
      <c r="O37" s="17"/>
      <c r="P37" s="19"/>
      <c r="Q37" s="29"/>
      <c r="R37" s="29"/>
      <c r="S37" s="29"/>
      <c r="T37" s="29"/>
      <c r="U37" s="29"/>
      <c r="V37" s="32"/>
      <c r="W37" s="21"/>
      <c r="X37" s="21"/>
      <c r="Z37" s="22"/>
    </row>
    <row r="38" spans="1:27" x14ac:dyDescent="0.25">
      <c r="A38" s="15"/>
      <c r="C38" s="14"/>
      <c r="D38" s="13"/>
      <c r="E38" s="28"/>
      <c r="F38" s="16"/>
      <c r="G38" s="17"/>
      <c r="H38" s="17"/>
      <c r="I38" s="17"/>
      <c r="J38" s="17"/>
      <c r="K38" s="17"/>
      <c r="L38" s="17"/>
      <c r="M38" s="18"/>
      <c r="N38" s="17"/>
      <c r="O38" s="17"/>
      <c r="P38" s="19"/>
      <c r="Q38" s="28"/>
      <c r="R38" s="28"/>
      <c r="S38" s="28"/>
      <c r="T38" s="28"/>
      <c r="U38" s="28"/>
      <c r="V38" s="32"/>
      <c r="W38" s="21"/>
      <c r="X38" s="21"/>
      <c r="Z38" s="22"/>
    </row>
    <row r="39" spans="1:27" x14ac:dyDescent="0.25">
      <c r="A39" s="15"/>
      <c r="C39" s="14"/>
      <c r="D39" s="13"/>
      <c r="E39" s="28"/>
      <c r="F39" s="16"/>
      <c r="G39" s="17"/>
      <c r="H39" s="17"/>
      <c r="I39" s="17"/>
      <c r="J39" s="17"/>
      <c r="K39" s="17"/>
      <c r="L39" s="17"/>
      <c r="M39" s="18"/>
      <c r="N39" s="17"/>
      <c r="O39" s="17"/>
      <c r="P39" s="19"/>
      <c r="Q39" s="28"/>
      <c r="R39" s="28"/>
      <c r="S39" s="28"/>
      <c r="T39" s="28"/>
      <c r="U39" s="28"/>
      <c r="V39" s="31"/>
      <c r="W39" s="21"/>
      <c r="X39" s="21"/>
      <c r="Z39" s="22"/>
    </row>
    <row r="40" spans="1:27" x14ac:dyDescent="0.25">
      <c r="A40" s="15"/>
      <c r="C40" s="14"/>
      <c r="D40" s="13"/>
      <c r="E40" s="28"/>
      <c r="F40" s="16"/>
      <c r="G40" s="17"/>
      <c r="H40" s="17"/>
      <c r="I40" s="17"/>
      <c r="J40" s="17"/>
      <c r="K40" s="17"/>
      <c r="L40" s="17"/>
      <c r="M40" s="18"/>
      <c r="N40" s="17"/>
      <c r="O40" s="17"/>
      <c r="P40" s="19"/>
      <c r="Q40" s="28"/>
      <c r="R40" s="28"/>
      <c r="S40" s="28"/>
      <c r="T40" s="28"/>
      <c r="U40" s="28"/>
      <c r="V40" s="31"/>
      <c r="W40" s="21"/>
      <c r="X40" s="21"/>
      <c r="Z40" s="22"/>
    </row>
  </sheetData>
  <autoFilter ref="A1:U8"/>
  <conditionalFormatting sqref="D1:D1048576"/>
  <conditionalFormatting sqref="D2:D1048576"/>
  <conditionalFormatting sqref="E9:E1048576 E1"/>
  <conditionalFormatting sqref="F1:F1048576"/>
  <conditionalFormatting sqref="R2:T2 S3:T4"/>
  <conditionalFormatting sqref="R3"/>
  <conditionalFormatting sqref="R4"/>
  <conditionalFormatting sqref="R5:T5"/>
  <conditionalFormatting sqref="R6:T6"/>
  <conditionalFormatting sqref="R8:T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Namadina Abubakar</dc:creator>
  <cp:lastModifiedBy>Bello A. Sulaimon</cp:lastModifiedBy>
  <dcterms:created xsi:type="dcterms:W3CDTF">2026-07-22T03:16:13Z</dcterms:created>
  <dcterms:modified xsi:type="dcterms:W3CDTF">2026-07-25T23:33:15Z</dcterms:modified>
</cp:coreProperties>
</file>